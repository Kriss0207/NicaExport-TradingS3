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9045" activeTab="4"/>
  </bookViews>
  <sheets>
    <sheet name="1. Operaciones" sheetId="2" r:id="rId1"/>
    <sheet name="2. Productos" sheetId="3" r:id="rId2"/>
    <sheet name="3. Mercados" sheetId="4" r:id="rId3"/>
    <sheet name="Valor FOB por pais " sheetId="5" r:id="rId4"/>
    <sheet name="Utilidad por producto" sheetId="6" r:id="rId5"/>
    <sheet name="Valor FOB por region" sheetId="7" r:id="rId6"/>
  </sheets>
  <calcPr calcId="152511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6" i="2" l="1"/>
  <c r="C125" i="2"/>
  <c r="C124" i="2"/>
  <c r="C123" i="2"/>
  <c r="C122" i="2"/>
  <c r="C121" i="2"/>
  <c r="F108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4" i="2"/>
  <c r="F107" i="2"/>
  <c r="F106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4" i="2"/>
</calcChain>
</file>

<file path=xl/sharedStrings.xml><?xml version="1.0" encoding="utf-8"?>
<sst xmlns="http://schemas.openxmlformats.org/spreadsheetml/2006/main" count="615" uniqueCount="184">
  <si>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</si>
  <si>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</si>
  <si>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</si>
  <si>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</si>
  <si>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</si>
  <si>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</si>
  <si>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</si>
  <si>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</si>
  <si>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</si>
  <si>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</si>
  <si>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</si>
  <si>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</si>
  <si>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</si>
  <si>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</si>
  <si>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</si>
  <si>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</si>
  <si>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</si>
  <si>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</si>
  <si>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</si>
  <si>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</si>
  <si>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</si>
  <si>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</si>
  <si>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</si>
  <si>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</si>
  <si>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</si>
  <si>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</si>
  <si>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</si>
  <si>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</si>
  <si>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</si>
  <si>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</si>
  <si>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</si>
  <si>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</si>
  <si>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</si>
  <si>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</si>
  <si>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</si>
  <si>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</si>
  <si>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</si>
  <si>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</si>
  <si>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</si>
  <si>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</si>
  <si>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</si>
  <si>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</si>
  <si>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</si>
  <si>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</si>
  <si>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</si>
  <si>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</si>
  <si>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</si>
  <si>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</si>
  <si>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</si>
  <si>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</si>
  <si>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</si>
  <si>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</si>
  <si>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</si>
  <si>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</si>
  <si>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</si>
  <si>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</si>
  <si>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</si>
  <si>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</si>
  <si>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</si>
  <si>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</si>
  <si>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</si>
  <si>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</si>
  <si>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</si>
  <si>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</si>
  <si>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</si>
  <si>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</si>
  <si>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</si>
  <si>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</si>
  <si>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</si>
  <si>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</si>
  <si>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</si>
  <si>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</si>
  <si>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</si>
  <si>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</si>
  <si>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</si>
  <si>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</si>
  <si>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</si>
  <si>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</si>
  <si>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</si>
  <si>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</si>
  <si>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</si>
  <si>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</si>
  <si>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</si>
  <si>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</si>
  <si>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</si>
  <si>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</si>
  <si>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</si>
  <si>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</si>
  <si>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</si>
  <si>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</si>
  <si>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</si>
  <si>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</si>
  <si>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</si>
  <si>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</si>
  <si>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</si>
  <si>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</si>
  <si>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</si>
  <si>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</si>
  <si>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</si>
  <si>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</si>
  <si>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</si>
  <si>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</si>
  <si>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</si>
  <si>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</si>
  <si>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</si>
  <si>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</si>
  <si>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</si>
  <si>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</si>
  <si>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</si>
  <si>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</si>
  <si>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</si>
  <si>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</si>
  <si>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</si>
  <si>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</si>
  <si>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</si>
  <si>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</si>
  <si>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</si>
  <si>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</si>
  <si>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</si>
  <si>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</si>
  <si>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</si>
  <si>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</si>
  <si>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</si>
  <si>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</si>
  <si>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</si>
  <si>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</si>
  <si>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</si>
  <si>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</si>
  <si>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</si>
  <si>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</si>
  <si>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</si>
  <si>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</si>
  <si>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</si>
  <si>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</si>
  <si>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</si>
  <si>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</si>
  <si>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</si>
  <si>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</si>
  <si>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</si>
  <si>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</si>
  <si>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</si>
  <si>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</si>
  <si>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</si>
  <si>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</si>
  <si>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</si>
  <si>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</si>
  <si>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</si>
  <si>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</si>
  <si>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</si>
  <si>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</si>
  <si>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</si>
  <si>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</si>
  <si>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</si>
  <si>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</si>
  <si>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</si>
  <si>
    <t>Arancel</t>
  </si>
  <si>
    <t>Clasificación del mercado</t>
  </si>
  <si>
    <t>Valor FOB</t>
  </si>
  <si>
    <t>Costo Total</t>
  </si>
  <si>
    <t>Utilidad</t>
  </si>
  <si>
    <t>Margen</t>
  </si>
  <si>
    <t>Nivel de Operación</t>
  </si>
  <si>
    <t>¿Cuántas operaciones internacionales se realizaron?</t>
  </si>
  <si>
    <t>¿Cuántas operaciones están pendientes?</t>
  </si>
  <si>
    <t>¿Cuánto se exportó hacia Centroamérica?</t>
  </si>
  <si>
    <t>Etiquetas de fila</t>
  </si>
  <si>
    <t>Total general</t>
  </si>
  <si>
    <t>Suma de Utilidad</t>
  </si>
  <si>
    <t xml:space="preserve">Operaciones hacia Estados Unidos </t>
  </si>
  <si>
    <t>Operaciones pendientes</t>
  </si>
  <si>
    <t>Valor FOB hacia Mexico</t>
  </si>
  <si>
    <t>Unidades Exportadas hacia Guatemala</t>
  </si>
  <si>
    <t>Valor FOB de Café especial hacia Estados Unidos</t>
  </si>
  <si>
    <t>Utilidad de operaciones de Centroamérica</t>
  </si>
  <si>
    <t>Pregunta</t>
  </si>
  <si>
    <t>Resultado</t>
  </si>
  <si>
    <t>Suma de Valor FOB</t>
  </si>
  <si>
    <t>El gráfico muestra el valor FOB generado por cada país de destino. Estados Unidos presenta el mayor valor FOB, seguido por España, México, Guatemala y Costa Rica. Esto permite identificar los mercados que representan una mayor participación en las exportaciones de NicaExport Trading, S.A.</t>
  </si>
  <si>
    <t>El gráfico muestra la utilidad generada por cada producto. El Café especial presenta la mayor utilidad, seguido por el Aceite de ajonjolí, la Miel natural, el Cacao en grano y el Maní procesado. Esto permite identificar los productos que generan mayores beneficios para la empresa.</t>
  </si>
  <si>
    <t>El gráfico muestra el valor FOB de las exportaciones según la región de destino. Norteamérica presenta el mayor valor FOB, seguida por Centroamérica y Europa. Esto permite comparar la participación de cada región en las operaciones internacionales de la empresa.</t>
  </si>
  <si>
    <t>CONCLUSIONES</t>
  </si>
  <si>
    <t>2. El Café especial destaca entre los productos analizados por generar la mayor utilidad, lo que permite identificarlo como uno de los productos con mayor aporte económico para la empresa.</t>
  </si>
  <si>
    <t>1. Estados Unidos representa el país con mayor valor FOB dentro de las operaciones analizadas, por lo que constituye uno de los mercados más importantes para NicaExport Trading, S.A.</t>
  </si>
  <si>
    <t>3. Norteamérica presenta el mayor valor FOB por región, mientras que las operaciones pendientes requieren seguimiento para mantener un adecuado control de las exportaciones.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</si>
</sst>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/>
    <xf numFmtId="164" fontId="0" fillId="0" borderId="0" xfId="0" applyNumberFormat="1"/>
    <xf numFmtId="164" fontId="0" fillId="0" borderId="1" xfId="0" applyNumberFormat="1" applyBorder="1"/>
    <xf numFmtId="9" fontId="0" fillId="0" borderId="1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 S3 completo.xlsx]1. Operaciones!TablaDinámica1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NicaExport</a:t>
            </a:r>
            <a:r>
              <a:rPr lang="en-US" baseline="0"/>
              <a:t> Trading S.A</a:t>
            </a:r>
          </a:p>
          <a:p>
            <a:pPr>
              <a:defRPr/>
            </a:pPr>
            <a:r>
              <a:rPr lang="en-US" baseline="0"/>
              <a:t>Comparación de la Utilidad por Producto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'1. Operaciones'!$C$110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 Operaciones'!$B$111:$B$116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'1. Operaciones'!$C$111:$C$116</c:f>
              <c:numCache>
                <c:formatCode>_-* #,##0_-;\-* #,##0_-;_-* "-"??_-;_-@_-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262-430B-A543-0DC56C815C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2070104"/>
        <c:axId val="122068144"/>
        <c:axId val="0"/>
      </c:bar3DChart>
      <c:catAx>
        <c:axId val="122070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Productos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22068144"/>
        <c:crosses val="autoZero"/>
        <c:auto val="1"/>
        <c:lblAlgn val="ctr"/>
        <c:lblOffset val="100"/>
        <c:noMultiLvlLbl val="0"/>
      </c:catAx>
      <c:valAx>
        <c:axId val="1220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NI"/>
                  <a:t>Miles</a:t>
                </a:r>
                <a:r>
                  <a:rPr lang="es-NI" baseline="0"/>
                  <a:t> de $</a:t>
                </a:r>
                <a:endParaRPr lang="es-NI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122070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 S3 completo.xlsx]Valor FOB por pais !Tabla dinámica1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Valor</a:t>
            </a:r>
            <a:r>
              <a:rPr lang="es-NI" baseline="0"/>
              <a:t> FOB por paìs</a:t>
            </a:r>
            <a:endParaRPr lang="es-NI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'Valor FOB por pais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'Valor FOB por pais '!$A$4:$A$9</c:f>
              <c:strCache>
                <c:ptCount val="5"/>
                <c:pt idx="0">
                  <c:v>Costa Rica</c:v>
                </c:pt>
                <c:pt idx="1">
                  <c:v>EE.UU.</c:v>
                </c:pt>
                <c:pt idx="2">
                  <c:v>España</c:v>
                </c:pt>
                <c:pt idx="3">
                  <c:v>Guatemala</c:v>
                </c:pt>
                <c:pt idx="4">
                  <c:v>México</c:v>
                </c:pt>
              </c:strCache>
            </c:strRef>
          </c:cat>
          <c:val>
            <c:numRef>
              <c:f>'Valor FOB por pais '!$B$4:$B$9</c:f>
              <c:numCache>
                <c:formatCode>General</c:formatCode>
                <c:ptCount val="5"/>
                <c:pt idx="0">
                  <c:v>113544</c:v>
                </c:pt>
                <c:pt idx="1">
                  <c:v>168745</c:v>
                </c:pt>
                <c:pt idx="2">
                  <c:v>136328</c:v>
                </c:pt>
                <c:pt idx="3">
                  <c:v>119335</c:v>
                </c:pt>
                <c:pt idx="4">
                  <c:v>120313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866376"/>
        <c:axId val="71864416"/>
        <c:axId val="0"/>
      </c:bar3DChart>
      <c:catAx>
        <c:axId val="7186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71864416"/>
        <c:crosses val="autoZero"/>
        <c:auto val="1"/>
        <c:lblAlgn val="ctr"/>
        <c:lblOffset val="100"/>
        <c:noMultiLvlLbl val="0"/>
      </c:catAx>
      <c:valAx>
        <c:axId val="718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7186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 S3 completo.xlsx]Utilidad por producto!Tabla dinámica2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NI"/>
              <a:t>Utilida</a:t>
            </a:r>
            <a:r>
              <a:rPr lang="es-NI" baseline="0"/>
              <a:t>d por producto</a:t>
            </a:r>
            <a:endParaRPr lang="es-NI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'Utilidad por producto'!$B$3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'Utilidad por producto'!$A$4:$A$9</c:f>
              <c:strCache>
                <c:ptCount val="5"/>
                <c:pt idx="0">
                  <c:v>Aceite de ajonjolí</c:v>
                </c:pt>
                <c:pt idx="1">
                  <c:v>Cacao en grano</c:v>
                </c:pt>
                <c:pt idx="2">
                  <c:v>Café especial</c:v>
                </c:pt>
                <c:pt idx="3">
                  <c:v>Maní procesado</c:v>
                </c:pt>
                <c:pt idx="4">
                  <c:v>Miel natural</c:v>
                </c:pt>
              </c:strCache>
            </c:strRef>
          </c:cat>
          <c:val>
            <c:numRef>
              <c:f>'Utilidad por producto'!$B$4:$B$9</c:f>
              <c:numCache>
                <c:formatCode>General</c:formatCode>
                <c:ptCount val="5"/>
                <c:pt idx="0">
                  <c:v>42218</c:v>
                </c:pt>
                <c:pt idx="1">
                  <c:v>36800</c:v>
                </c:pt>
                <c:pt idx="2">
                  <c:v>62832</c:v>
                </c:pt>
                <c:pt idx="3">
                  <c:v>33533.999999999993</c:v>
                </c:pt>
                <c:pt idx="4">
                  <c:v>38688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0274832"/>
        <c:axId val="240276400"/>
        <c:axId val="0"/>
      </c:bar3DChart>
      <c:catAx>
        <c:axId val="24027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40276400"/>
        <c:crosses val="autoZero"/>
        <c:auto val="1"/>
        <c:lblAlgn val="ctr"/>
        <c:lblOffset val="100"/>
        <c:noMultiLvlLbl val="0"/>
      </c:catAx>
      <c:valAx>
        <c:axId val="24027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402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[Caso de Estudio NicaExport Trading S3 completo.xlsx]Valor FOB por region!Tabla dinámica3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</a:t>
            </a:r>
            <a:r>
              <a:rPr lang="en-US" baseline="0"/>
              <a:t> FOB por regiòn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'Valor FOB por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'Valor FOB por region'!$A$4:$A$7</c:f>
              <c:strCache>
                <c:ptCount val="3"/>
                <c:pt idx="0">
                  <c:v>Centroamérica</c:v>
                </c:pt>
                <c:pt idx="1">
                  <c:v>Europa</c:v>
                </c:pt>
                <c:pt idx="2">
                  <c:v>Norteamérica</c:v>
                </c:pt>
              </c:strCache>
            </c:strRef>
          </c:cat>
          <c:val>
            <c:numRef>
              <c:f>'Valor FOB por region'!$B$4:$B$7</c:f>
              <c:numCache>
                <c:formatCode>General</c:formatCode>
                <c:ptCount val="3"/>
                <c:pt idx="0">
                  <c:v>232879</c:v>
                </c:pt>
                <c:pt idx="1">
                  <c:v>136328</c:v>
                </c:pt>
                <c:pt idx="2">
                  <c:v>289058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815512"/>
        <c:axId val="37815120"/>
        <c:axId val="0"/>
      </c:bar3DChart>
      <c:catAx>
        <c:axId val="37815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815120"/>
        <c:crosses val="autoZero"/>
        <c:auto val="1"/>
        <c:lblAlgn val="ctr"/>
        <c:lblOffset val="100"/>
        <c:noMultiLvlLbl val="0"/>
      </c:catAx>
      <c:valAx>
        <c:axId val="378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7815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104</xdr:row>
      <xdr:rowOff>9524</xdr:rowOff>
    </xdr:from>
    <xdr:to>
      <xdr:col>12</xdr:col>
      <xdr:colOff>19050</xdr:colOff>
      <xdr:row>119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344FB36B-DF9D-4E74-AC46-B1A441657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14287</xdr:rowOff>
    </xdr:from>
    <xdr:to>
      <xdr:col>4</xdr:col>
      <xdr:colOff>704850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157162</xdr:rowOff>
    </xdr:from>
    <xdr:to>
      <xdr:col>5</xdr:col>
      <xdr:colOff>28575</xdr:colOff>
      <xdr:row>24</xdr:row>
      <xdr:rowOff>42862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14287</xdr:rowOff>
    </xdr:from>
    <xdr:to>
      <xdr:col>4</xdr:col>
      <xdr:colOff>704850</xdr:colOff>
      <xdr:row>22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oratorio Cisco" refreshedDate="46268.372344444448" createdVersion="7" refreshedVersion="7" minRefreshableVersion="3" recordCount="100">
  <cacheSource type="worksheet">
    <worksheetSource ref="B3:T103" sheet="1. Operaciones"/>
  </cacheSource>
  <cacheFields count="19">
    <cacheField name="ID_Operación" numFmtId="0">
      <sharedItems/>
    </cacheField>
    <cacheField name="Fecha" numFmtId="14">
      <sharedItems containsSemiMixedTypes="0" containsNonDate="0" containsDate="1" containsString="0" minDate="2026-01-04T00:00:00" maxDate="2026-12-31T00:00:00"/>
    </cacheField>
    <cacheField name="Cliente" numFmtId="0">
      <sharedItems/>
    </cacheField>
    <cacheField name="Código Producto" numFmtId="0">
      <sharedItems/>
    </cacheField>
    <cacheField name="Producto" numFmtId="0">
      <sharedItems count="5">
        <s v="Miel natural"/>
        <s v="Café especial"/>
        <s v="Maní procesado"/>
        <s v="Cacao en grano"/>
        <s v="Aceite de ajonjolí"/>
      </sharedItems>
    </cacheField>
    <cacheField name="Categoría" numFmtId="0">
      <sharedItems/>
    </cacheField>
    <cacheField name="Región" numFmtId="0">
      <sharedItems count="3">
        <s v="Centroamérica"/>
        <s v="Norteamérica"/>
        <s v="Europa"/>
      </sharedItems>
    </cacheField>
    <cacheField name="Arancel" numFmtId="9">
      <sharedItems containsSemiMixedTypes="0" containsString="0" containsNumber="1" minValue="0.02" maxValue="0.1"/>
    </cacheField>
    <cacheField name="País Destino" numFmtId="0">
      <sharedItems count="5">
        <s v="Guatemala"/>
        <s v="EE.UU."/>
        <s v="Costa Rica"/>
        <s v="España"/>
        <s v="México"/>
      </sharedItems>
    </cacheField>
    <cacheField name="Clasificación del mercado" numFmtId="0">
      <sharedItems/>
    </cacheField>
    <cacheField name="Unidades" numFmtId="0">
      <sharedItems containsSemiMixedTypes="0" containsString="0" containsNumber="1" containsInteger="1" minValue="450" maxValue="1550"/>
    </cacheField>
    <cacheField name="Precio FOB" numFmtId="0">
      <sharedItems containsSemiMixedTypes="0" containsString="0" containsNumber="1" minValue="4.8" maxValue="12.5"/>
    </cacheField>
    <cacheField name="Valor FOB" numFmtId="164">
      <sharedItems containsSemiMixedTypes="0" containsString="0" containsNumber="1" minValue="2976" maxValue="10659.999999999998"/>
    </cacheField>
    <cacheField name="Costo Unitario" numFmtId="0">
      <sharedItems containsSemiMixedTypes="0" containsString="0" containsNumber="1" minValue="3.2" maxValue="8.6999999999999993"/>
    </cacheField>
    <cacheField name="Costo Total" numFmtId="164">
      <sharedItems containsSemiMixedTypes="0" containsString="0" containsNumber="1" minValue="1984" maxValue="7670.0000000000009"/>
    </cacheField>
    <cacheField name="Estado" numFmtId="0">
      <sharedItems/>
    </cacheField>
    <cacheField name="Utilidad" numFmtId="164">
      <sharedItems containsSemiMixedTypes="0" containsString="0" containsNumber="1" minValue="992" maxValue="3600.0000000000009"/>
    </cacheField>
    <cacheField name="Margen" numFmtId="9">
      <sharedItems containsSemiMixedTypes="0" containsString="0" containsNumber="1" minValue="0.28048780487804859" maxValue="0.36923076923076936"/>
    </cacheField>
    <cacheField name="Nivel de Oper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EX001"/>
    <d v="2026-01-05T00:00:00"/>
    <s v="Comercial Maya"/>
    <s v="P003"/>
    <x v="0"/>
    <s v="Apícola"/>
    <x v="0"/>
    <n v="0.03"/>
    <x v="0"/>
    <s v="Estratégico"/>
    <n v="850"/>
    <n v="4.8"/>
    <n v="4080"/>
    <n v="3.2"/>
    <n v="2720"/>
    <s v="Embarcado"/>
    <n v="1360"/>
    <n v="0.33333333333333331"/>
    <s v="Alta"/>
  </r>
  <r>
    <s v="EX002"/>
    <d v="2026-01-12T00:00:00"/>
    <s v="Global Foods"/>
    <s v="P001"/>
    <x v="1"/>
    <s v="Café"/>
    <x v="1"/>
    <n v="0.05"/>
    <x v="1"/>
    <s v="Estratégico"/>
    <n v="1200"/>
    <n v="6.5"/>
    <n v="7800"/>
    <n v="4.0999999999999996"/>
    <n v="4920"/>
    <s v="Entregado"/>
    <n v="2880"/>
    <n v="0.36923076923076925"/>
    <s v="Alta"/>
  </r>
  <r>
    <s v="EX003"/>
    <d v="2026-01-20T00:00:00"/>
    <s v="Distribuidora Tica"/>
    <s v="P004"/>
    <x v="2"/>
    <s v="Semillas"/>
    <x v="0"/>
    <n v="0.02"/>
    <x v="2"/>
    <s v="Estratégico"/>
    <n v="650"/>
    <n v="8.1999999999999993"/>
    <n v="5329.9999999999991"/>
    <n v="5.9"/>
    <n v="3835.0000000000005"/>
    <s v="Embarcado"/>
    <n v="1494.9999999999986"/>
    <n v="0.28048780487804859"/>
    <s v="Mediana"/>
  </r>
  <r>
    <s v="EX004"/>
    <d v="2026-02-03T00:00:00"/>
    <s v="Iberia Foods"/>
    <s v="P002"/>
    <x v="3"/>
    <s v="Cacao"/>
    <x v="2"/>
    <n v="0.1"/>
    <x v="3"/>
    <s v="Potencial"/>
    <n v="950"/>
    <n v="7.1"/>
    <n v="6745"/>
    <n v="4.8"/>
    <n v="4560"/>
    <s v="Pendiente"/>
    <n v="2185"/>
    <n v="0.323943661971831"/>
    <s v="Alta"/>
  </r>
  <r>
    <s v="EX005"/>
    <d v="2026-02-15T00:00:00"/>
    <s v="Comercial Azteca"/>
    <s v="P005"/>
    <x v="4"/>
    <s v="Aceites"/>
    <x v="1"/>
    <n v="0.08"/>
    <x v="4"/>
    <s v="Potencial"/>
    <n v="500"/>
    <n v="12.5"/>
    <n v="6250"/>
    <n v="8.6999999999999993"/>
    <n v="4350"/>
    <s v="Entregado"/>
    <n v="1900"/>
    <n v="0.30399999999999999"/>
    <s v="Alta"/>
  </r>
  <r>
    <s v="EX006"/>
    <d v="2026-02-28T00:00:00"/>
    <s v="Global Foods"/>
    <s v="P003"/>
    <x v="0"/>
    <s v="Apícola"/>
    <x v="1"/>
    <n v="0.05"/>
    <x v="1"/>
    <s v="Estratégico"/>
    <n v="1400"/>
    <n v="4.8"/>
    <n v="6720"/>
    <n v="3.2"/>
    <n v="4480"/>
    <s v="Entregado"/>
    <n v="2240"/>
    <n v="0.33333333333333331"/>
    <s v="Alta"/>
  </r>
  <r>
    <s v="EX007"/>
    <d v="2026-03-08T00:00:00"/>
    <s v="Distribuidora Tica"/>
    <s v="P001"/>
    <x v="1"/>
    <s v="Café"/>
    <x v="0"/>
    <n v="0.02"/>
    <x v="2"/>
    <s v="Estratégico"/>
    <n v="900"/>
    <n v="6.5"/>
    <n v="5850"/>
    <n v="4.0999999999999996"/>
    <n v="3689.9999999999995"/>
    <s v="Embarcado"/>
    <n v="2160.0000000000005"/>
    <n v="0.36923076923076931"/>
    <s v="Alta"/>
  </r>
  <r>
    <s v="EX008"/>
    <d v="2026-03-18T00:00:00"/>
    <s v="Comercial Maya"/>
    <s v="P004"/>
    <x v="2"/>
    <s v="Semillas"/>
    <x v="0"/>
    <n v="0.03"/>
    <x v="0"/>
    <s v="Estratégico"/>
    <n v="750"/>
    <n v="8.1999999999999993"/>
    <n v="6149.9999999999991"/>
    <n v="5.9"/>
    <n v="4425"/>
    <s v="Entregado"/>
    <n v="1724.9999999999991"/>
    <n v="0.2804878048780487"/>
    <s v="Mediana"/>
  </r>
  <r>
    <s v="EX009"/>
    <d v="2026-03-25T00:00:00"/>
    <s v="Iberia Foods"/>
    <s v="P005"/>
    <x v="4"/>
    <s v="Aceites"/>
    <x v="2"/>
    <n v="0.1"/>
    <x v="3"/>
    <s v="Potencial"/>
    <n v="600"/>
    <n v="12.5"/>
    <n v="7500"/>
    <n v="8.6999999999999993"/>
    <n v="5220"/>
    <s v="Embarcado"/>
    <n v="2280"/>
    <n v="0.30399999999999999"/>
    <s v="Alta"/>
  </r>
  <r>
    <s v="EX010"/>
    <d v="2026-04-02T00:00:00"/>
    <s v="Comercial Azteca"/>
    <s v="P002"/>
    <x v="3"/>
    <s v="Cacao"/>
    <x v="1"/>
    <n v="0.08"/>
    <x v="4"/>
    <s v="Potencial"/>
    <n v="1100"/>
    <n v="7.1"/>
    <n v="7810"/>
    <n v="4.8"/>
    <n v="5280"/>
    <s v="Entregado"/>
    <n v="2530"/>
    <n v="0.323943661971831"/>
    <s v="Alta"/>
  </r>
  <r>
    <s v="EX011"/>
    <d v="2026-04-10T00:00:00"/>
    <s v="Global Foods"/>
    <s v="P004"/>
    <x v="2"/>
    <s v="Semillas"/>
    <x v="1"/>
    <n v="0.05"/>
    <x v="1"/>
    <s v="Estratégico"/>
    <n v="1300"/>
    <n v="8.1999999999999993"/>
    <n v="10659.999999999998"/>
    <n v="5.9"/>
    <n v="7670.0000000000009"/>
    <s v="Entregado"/>
    <n v="2989.9999999999973"/>
    <n v="0.28048780487804859"/>
    <s v="Mediana"/>
  </r>
  <r>
    <s v="EX012"/>
    <d v="2026-04-18T00:00:00"/>
    <s v="Comercial Maya"/>
    <s v="P001"/>
    <x v="1"/>
    <s v="Café"/>
    <x v="0"/>
    <n v="0.03"/>
    <x v="0"/>
    <s v="Estratégico"/>
    <n v="700"/>
    <n v="6.5"/>
    <n v="4550"/>
    <n v="4.0999999999999996"/>
    <n v="2869.9999999999995"/>
    <s v="Pendiente"/>
    <n v="1680.0000000000005"/>
    <n v="0.36923076923076931"/>
    <s v="Alta"/>
  </r>
  <r>
    <s v="EX013"/>
    <d v="2026-04-27T00:00:00"/>
    <s v="Distribuidora Tica"/>
    <s v="P005"/>
    <x v="4"/>
    <s v="Aceites"/>
    <x v="0"/>
    <n v="0.02"/>
    <x v="2"/>
    <s v="Estratégico"/>
    <n v="450"/>
    <n v="12.5"/>
    <n v="5625"/>
    <n v="8.6999999999999993"/>
    <n v="3914.9999999999995"/>
    <s v="Embarcado"/>
    <n v="1710.0000000000005"/>
    <n v="0.3040000000000001"/>
    <s v="Alta"/>
  </r>
  <r>
    <s v="EX014"/>
    <d v="2026-05-05T00:00:00"/>
    <s v="Iberia Foods"/>
    <s v="P003"/>
    <x v="0"/>
    <s v="Apícola"/>
    <x v="2"/>
    <n v="0.1"/>
    <x v="3"/>
    <s v="Potencial"/>
    <n v="1000"/>
    <n v="4.8"/>
    <n v="4800"/>
    <n v="3.2"/>
    <n v="3200"/>
    <s v="Entregado"/>
    <n v="1600"/>
    <n v="0.33333333333333331"/>
    <s v="Alta"/>
  </r>
  <r>
    <s v="EX015"/>
    <d v="2026-05-14T00:00:00"/>
    <s v="Comercial Azteca"/>
    <s v="P001"/>
    <x v="1"/>
    <s v="Café"/>
    <x v="1"/>
    <n v="0.08"/>
    <x v="4"/>
    <s v="Potencial"/>
    <n v="850"/>
    <n v="6.5"/>
    <n v="5525"/>
    <n v="4.0999999999999996"/>
    <n v="3484.9999999999995"/>
    <s v="Embarcado"/>
    <n v="2040.0000000000005"/>
    <n v="0.36923076923076931"/>
    <s v="Alta"/>
  </r>
  <r>
    <s v="EX016"/>
    <d v="2026-05-22T00:00:00"/>
    <s v="Global Foods"/>
    <s v="P002"/>
    <x v="3"/>
    <s v="Cacao"/>
    <x v="1"/>
    <n v="0.05"/>
    <x v="1"/>
    <s v="Estratégico"/>
    <n v="1250"/>
    <n v="7.1"/>
    <n v="8875"/>
    <n v="4.8"/>
    <n v="6000"/>
    <s v="Entregado"/>
    <n v="2875"/>
    <n v="0.323943661971831"/>
    <s v="Alta"/>
  </r>
  <r>
    <s v="EX017"/>
    <d v="2026-05-30T00:00:00"/>
    <s v="Comercial Maya"/>
    <s v="P005"/>
    <x v="4"/>
    <s v="Aceites"/>
    <x v="0"/>
    <n v="0.03"/>
    <x v="0"/>
    <s v="Estratégico"/>
    <n v="550"/>
    <n v="12.5"/>
    <n v="6875"/>
    <n v="8.6999999999999993"/>
    <n v="4785"/>
    <s v="Embarcado"/>
    <n v="2090"/>
    <n v="0.30399999999999999"/>
    <s v="Alta"/>
  </r>
  <r>
    <s v="EX018"/>
    <d v="2026-06-07T00:00:00"/>
    <s v="Distribuidora Tica"/>
    <s v="P003"/>
    <x v="0"/>
    <s v="Apícola"/>
    <x v="0"/>
    <n v="0.02"/>
    <x v="2"/>
    <s v="Estratégico"/>
    <n v="800"/>
    <n v="4.8"/>
    <n v="3840"/>
    <n v="3.2"/>
    <n v="2560"/>
    <s v="Entregado"/>
    <n v="1280"/>
    <n v="0.33333333333333331"/>
    <s v="Alta"/>
  </r>
  <r>
    <s v="EX019"/>
    <d v="2026-06-16T00:00:00"/>
    <s v="Iberia Foods"/>
    <s v="P004"/>
    <x v="2"/>
    <s v="Semillas"/>
    <x v="2"/>
    <n v="0.1"/>
    <x v="3"/>
    <s v="Potencial"/>
    <n v="900"/>
    <n v="8.1999999999999993"/>
    <n v="7379.9999999999991"/>
    <n v="5.9"/>
    <n v="5310"/>
    <s v="Pendiente"/>
    <n v="2069.9999999999991"/>
    <n v="0.2804878048780487"/>
    <s v="Mediana"/>
  </r>
  <r>
    <s v="EX020"/>
    <d v="2026-06-25T00:00:00"/>
    <s v="Comercial Azteca"/>
    <s v="P005"/>
    <x v="4"/>
    <s v="Aceites"/>
    <x v="1"/>
    <n v="0.08"/>
    <x v="4"/>
    <s v="Potencial"/>
    <n v="650"/>
    <n v="12.5"/>
    <n v="8125"/>
    <n v="8.6999999999999993"/>
    <n v="5654.9999999999991"/>
    <s v="Entregado"/>
    <n v="2470.0000000000009"/>
    <n v="0.3040000000000001"/>
    <s v="Alta"/>
  </r>
  <r>
    <s v="EX021"/>
    <d v="2026-07-03T00:00:00"/>
    <s v="Global Foods"/>
    <s v="P001"/>
    <x v="1"/>
    <s v="Café"/>
    <x v="1"/>
    <n v="0.05"/>
    <x v="1"/>
    <s v="Estratégico"/>
    <n v="1500"/>
    <n v="6.5"/>
    <n v="9750"/>
    <n v="4.0999999999999996"/>
    <n v="6149.9999999999991"/>
    <s v="Embarcado"/>
    <n v="3600.0000000000009"/>
    <n v="0.36923076923076931"/>
    <s v="Alta"/>
  </r>
  <r>
    <s v="EX022"/>
    <d v="2026-07-11T00:00:00"/>
    <s v="Comercial Maya"/>
    <s v="P002"/>
    <x v="3"/>
    <s v="Cacao"/>
    <x v="0"/>
    <n v="0.03"/>
    <x v="0"/>
    <s v="Estratégico"/>
    <n v="1000"/>
    <n v="7.1"/>
    <n v="7100"/>
    <n v="4.8"/>
    <n v="4800"/>
    <s v="Entregado"/>
    <n v="2300"/>
    <n v="0.323943661971831"/>
    <s v="Alta"/>
  </r>
  <r>
    <s v="EX023"/>
    <d v="2026-07-19T00:00:00"/>
    <s v="Distribuidora Tica"/>
    <s v="P004"/>
    <x v="2"/>
    <s v="Semillas"/>
    <x v="0"/>
    <n v="0.02"/>
    <x v="2"/>
    <s v="Estratégico"/>
    <n v="720"/>
    <n v="8.1999999999999993"/>
    <n v="5903.9999999999991"/>
    <n v="5.9"/>
    <n v="4248"/>
    <s v="Embarcado"/>
    <n v="1655.9999999999991"/>
    <n v="0.2804878048780487"/>
    <s v="Mediana"/>
  </r>
  <r>
    <s v="EX024"/>
    <d v="2026-07-28T00:00:00"/>
    <s v="Iberia Foods"/>
    <s v="P003"/>
    <x v="0"/>
    <s v="Apícola"/>
    <x v="2"/>
    <n v="0.1"/>
    <x v="3"/>
    <s v="Potencial"/>
    <n v="1150"/>
    <n v="4.8"/>
    <n v="5520"/>
    <n v="3.2"/>
    <n v="3680"/>
    <s v="Entregado"/>
    <n v="1840"/>
    <n v="0.33333333333333331"/>
    <s v="Alta"/>
  </r>
  <r>
    <s v="EX025"/>
    <d v="2026-08-05T00:00:00"/>
    <s v="Comercial Azteca"/>
    <s v="P001"/>
    <x v="1"/>
    <s v="Café"/>
    <x v="1"/>
    <n v="0.08"/>
    <x v="4"/>
    <s v="Potencial"/>
    <n v="950"/>
    <n v="6.5"/>
    <n v="6175"/>
    <n v="4.0999999999999996"/>
    <n v="3894.9999999999995"/>
    <s v="Pendiente"/>
    <n v="2280.0000000000005"/>
    <n v="0.36923076923076931"/>
    <s v="Alta"/>
  </r>
  <r>
    <s v="EX026"/>
    <d v="2026-08-13T00:00:00"/>
    <s v="Global Foods"/>
    <s v="P005"/>
    <x v="4"/>
    <s v="Aceites"/>
    <x v="1"/>
    <n v="0.05"/>
    <x v="1"/>
    <s v="Estratégico"/>
    <n v="700"/>
    <n v="12.5"/>
    <n v="8750"/>
    <n v="8.6999999999999993"/>
    <n v="6089.9999999999991"/>
    <s v="Entregado"/>
    <n v="2660.0000000000009"/>
    <n v="0.3040000000000001"/>
    <s v="Alta"/>
  </r>
  <r>
    <s v="EX027"/>
    <d v="2026-08-21T00:00:00"/>
    <s v="Comercial Maya"/>
    <s v="P003"/>
    <x v="0"/>
    <s v="Apícola"/>
    <x v="0"/>
    <n v="0.03"/>
    <x v="0"/>
    <s v="Estratégico"/>
    <n v="1050"/>
    <n v="4.8"/>
    <n v="5040"/>
    <n v="3.2"/>
    <n v="3360"/>
    <s v="Embarcado"/>
    <n v="1680"/>
    <n v="0.33333333333333331"/>
    <s v="Alta"/>
  </r>
  <r>
    <s v="EX028"/>
    <d v="2026-08-29T00:00:00"/>
    <s v="Distribuidora Tica"/>
    <s v="P002"/>
    <x v="3"/>
    <s v="Cacao"/>
    <x v="0"/>
    <n v="0.02"/>
    <x v="2"/>
    <s v="Estratégico"/>
    <n v="850"/>
    <n v="7.1"/>
    <n v="6035"/>
    <n v="4.8"/>
    <n v="4080"/>
    <s v="Entregado"/>
    <n v="1955"/>
    <n v="0.323943661971831"/>
    <s v="Alta"/>
  </r>
  <r>
    <s v="EX029"/>
    <d v="2026-09-04T00:00:00"/>
    <s v="Iberia Foods"/>
    <s v="P001"/>
    <x v="1"/>
    <s v="Café"/>
    <x v="2"/>
    <n v="0.1"/>
    <x v="3"/>
    <s v="Potencial"/>
    <n v="1200"/>
    <n v="6.5"/>
    <n v="7800"/>
    <n v="4.0999999999999996"/>
    <n v="4920"/>
    <s v="Embarcado"/>
    <n v="2880"/>
    <n v="0.36923076923076925"/>
    <s v="Alta"/>
  </r>
  <r>
    <s v="EX030"/>
    <d v="2026-09-12T00:00:00"/>
    <s v="Comercial Azteca"/>
    <s v="P004"/>
    <x v="2"/>
    <s v="Semillas"/>
    <x v="1"/>
    <n v="0.08"/>
    <x v="4"/>
    <s v="Potencial"/>
    <n v="600"/>
    <n v="8.1999999999999993"/>
    <n v="4920"/>
    <n v="5.9"/>
    <n v="3540"/>
    <s v="Entregado"/>
    <n v="1380"/>
    <n v="0.28048780487804881"/>
    <s v="Mediana"/>
  </r>
  <r>
    <s v="EX031"/>
    <d v="2026-09-20T00:00:00"/>
    <s v="Global Foods"/>
    <s v="P003"/>
    <x v="0"/>
    <s v="Apícola"/>
    <x v="1"/>
    <n v="0.05"/>
    <x v="1"/>
    <s v="Estratégico"/>
    <n v="1350"/>
    <n v="4.8"/>
    <n v="6480"/>
    <n v="3.2"/>
    <n v="4320"/>
    <s v="Entregado"/>
    <n v="2160"/>
    <n v="0.33333333333333331"/>
    <s v="Alta"/>
  </r>
  <r>
    <s v="EX032"/>
    <d v="2026-09-28T00:00:00"/>
    <s v="Comercial Maya"/>
    <s v="P005"/>
    <x v="4"/>
    <s v="Aceites"/>
    <x v="0"/>
    <n v="0.03"/>
    <x v="0"/>
    <s v="Estratégico"/>
    <n v="500"/>
    <n v="12.5"/>
    <n v="6250"/>
    <n v="8.6999999999999993"/>
    <n v="4350"/>
    <s v="Pendiente"/>
    <n v="1900"/>
    <n v="0.30399999999999999"/>
    <s v="Alta"/>
  </r>
  <r>
    <s v="EX033"/>
    <d v="2026-10-06T00:00:00"/>
    <s v="Distribuidora Tica"/>
    <s v="P001"/>
    <x v="1"/>
    <s v="Café"/>
    <x v="0"/>
    <n v="0.02"/>
    <x v="2"/>
    <s v="Estratégico"/>
    <n v="950"/>
    <n v="6.5"/>
    <n v="6175"/>
    <n v="4.0999999999999996"/>
    <n v="3894.9999999999995"/>
    <s v="Embarcado"/>
    <n v="2280.0000000000005"/>
    <n v="0.36923076923076931"/>
    <s v="Alta"/>
  </r>
  <r>
    <s v="EX034"/>
    <d v="2026-10-14T00:00:00"/>
    <s v="Iberia Foods"/>
    <s v="P002"/>
    <x v="3"/>
    <s v="Cacao"/>
    <x v="2"/>
    <n v="0.1"/>
    <x v="3"/>
    <s v="Potencial"/>
    <n v="1050"/>
    <n v="7.1"/>
    <n v="7455"/>
    <n v="4.8"/>
    <n v="5040"/>
    <s v="Entregado"/>
    <n v="2415"/>
    <n v="0.323943661971831"/>
    <s v="Alta"/>
  </r>
  <r>
    <s v="EX035"/>
    <d v="2026-10-22T00:00:00"/>
    <s v="Comercial Azteca"/>
    <s v="P003"/>
    <x v="0"/>
    <s v="Apícola"/>
    <x v="1"/>
    <n v="0.08"/>
    <x v="4"/>
    <s v="Potencial"/>
    <n v="750"/>
    <n v="4.8"/>
    <n v="3600"/>
    <n v="3.2"/>
    <n v="2400"/>
    <s v="Embarcado"/>
    <n v="1200"/>
    <n v="0.33333333333333331"/>
    <s v="Alta"/>
  </r>
  <r>
    <s v="EX036"/>
    <d v="2026-10-30T00:00:00"/>
    <s v="Global Foods"/>
    <s v="P004"/>
    <x v="2"/>
    <s v="Semillas"/>
    <x v="1"/>
    <n v="0.05"/>
    <x v="1"/>
    <s v="Estratégico"/>
    <n v="900"/>
    <n v="8.1999999999999993"/>
    <n v="7379.9999999999991"/>
    <n v="5.9"/>
    <n v="5310"/>
    <s v="Entregado"/>
    <n v="2069.9999999999991"/>
    <n v="0.2804878048780487"/>
    <s v="Mediana"/>
  </r>
  <r>
    <s v="EX037"/>
    <d v="2026-11-07T00:00:00"/>
    <s v="Comercial Maya"/>
    <s v="P001"/>
    <x v="1"/>
    <s v="Café"/>
    <x v="0"/>
    <n v="0.03"/>
    <x v="0"/>
    <s v="Estratégico"/>
    <n v="1150"/>
    <n v="6.5"/>
    <n v="7475"/>
    <n v="4.0999999999999996"/>
    <n v="4715"/>
    <s v="Entregado"/>
    <n v="2760"/>
    <n v="0.36923076923076925"/>
    <s v="Alta"/>
  </r>
  <r>
    <s v="EX038"/>
    <d v="2026-11-15T00:00:00"/>
    <s v="Distribuidora Tica"/>
    <s v="P005"/>
    <x v="4"/>
    <s v="Aceites"/>
    <x v="0"/>
    <n v="0.02"/>
    <x v="2"/>
    <s v="Estratégico"/>
    <n v="580"/>
    <n v="12.5"/>
    <n v="7250"/>
    <n v="8.6999999999999993"/>
    <n v="5046"/>
    <s v="Embarcado"/>
    <n v="2204"/>
    <n v="0.30399999999999999"/>
    <s v="Alta"/>
  </r>
  <r>
    <s v="EX039"/>
    <d v="2026-11-23T00:00:00"/>
    <s v="Iberia Foods"/>
    <s v="P003"/>
    <x v="0"/>
    <s v="Apícola"/>
    <x v="2"/>
    <n v="0.1"/>
    <x v="3"/>
    <s v="Potencial"/>
    <n v="1300"/>
    <n v="4.8"/>
    <n v="6240"/>
    <n v="3.2"/>
    <n v="4160"/>
    <s v="Pendiente"/>
    <n v="2080"/>
    <n v="0.33333333333333331"/>
    <s v="Alta"/>
  </r>
  <r>
    <s v="EX040"/>
    <d v="2026-12-01T00:00:00"/>
    <s v="Comercial Azteca"/>
    <s v="P002"/>
    <x v="3"/>
    <s v="Cacao"/>
    <x v="1"/>
    <n v="0.08"/>
    <x v="4"/>
    <s v="Potencial"/>
    <n v="900"/>
    <n v="7.1"/>
    <n v="6390"/>
    <n v="4.8"/>
    <n v="4320"/>
    <s v="Entregado"/>
    <n v="2070"/>
    <n v="0.323943661971831"/>
    <s v="Alta"/>
  </r>
  <r>
    <s v="EX041"/>
    <d v="2026-12-08T00:00:00"/>
    <s v="Global Foods"/>
    <s v="P001"/>
    <x v="1"/>
    <s v="Café"/>
    <x v="1"/>
    <n v="0.05"/>
    <x v="1"/>
    <s v="Estratégico"/>
    <n v="1400"/>
    <n v="6.5"/>
    <n v="9100"/>
    <n v="4.0999999999999996"/>
    <n v="5739.9999999999991"/>
    <s v="Embarcado"/>
    <n v="3360.0000000000009"/>
    <n v="0.36923076923076931"/>
    <s v="Alta"/>
  </r>
  <r>
    <s v="EX042"/>
    <d v="2026-12-15T00:00:00"/>
    <s v="Comercial Maya"/>
    <s v="P004"/>
    <x v="2"/>
    <s v="Semillas"/>
    <x v="0"/>
    <n v="0.03"/>
    <x v="0"/>
    <s v="Estratégico"/>
    <n v="800"/>
    <n v="8.1999999999999993"/>
    <n v="6559.9999999999991"/>
    <n v="5.9"/>
    <n v="4720"/>
    <s v="Entregado"/>
    <n v="1839.9999999999991"/>
    <n v="0.2804878048780487"/>
    <s v="Mediana"/>
  </r>
  <r>
    <s v="EX043"/>
    <d v="2026-12-22T00:00:00"/>
    <s v="Distribuidora Tica"/>
    <s v="P003"/>
    <x v="0"/>
    <s v="Apícola"/>
    <x v="0"/>
    <n v="0.02"/>
    <x v="2"/>
    <s v="Estratégico"/>
    <n v="1000"/>
    <n v="4.8"/>
    <n v="4800"/>
    <n v="3.2"/>
    <n v="3200"/>
    <s v="Entregado"/>
    <n v="1600"/>
    <n v="0.33333333333333331"/>
    <s v="Alta"/>
  </r>
  <r>
    <s v="EX044"/>
    <d v="2026-12-28T00:00:00"/>
    <s v="Iberia Foods"/>
    <s v="P005"/>
    <x v="4"/>
    <s v="Aceites"/>
    <x v="2"/>
    <n v="0.1"/>
    <x v="3"/>
    <s v="Potencial"/>
    <n v="650"/>
    <n v="12.5"/>
    <n v="8125"/>
    <n v="8.6999999999999993"/>
    <n v="5654.9999999999991"/>
    <s v="Embarcado"/>
    <n v="2470.0000000000009"/>
    <n v="0.3040000000000001"/>
    <s v="Alta"/>
  </r>
  <r>
    <s v="EX045"/>
    <d v="2026-01-04T00:00:00"/>
    <s v="Comercial Azteca"/>
    <s v="P001"/>
    <x v="1"/>
    <s v="Café"/>
    <x v="1"/>
    <n v="0.08"/>
    <x v="4"/>
    <s v="Potencial"/>
    <n v="780"/>
    <n v="6.5"/>
    <n v="5070"/>
    <n v="4.0999999999999996"/>
    <n v="3197.9999999999995"/>
    <s v="Entregado"/>
    <n v="1872.0000000000005"/>
    <n v="0.36923076923076931"/>
    <s v="Alta"/>
  </r>
  <r>
    <s v="EX046"/>
    <d v="2026-01-11T00:00:00"/>
    <s v="Global Foods"/>
    <s v="P002"/>
    <x v="3"/>
    <s v="Cacao"/>
    <x v="1"/>
    <n v="0.05"/>
    <x v="1"/>
    <s v="Estratégico"/>
    <n v="1180"/>
    <n v="7.1"/>
    <n v="8378"/>
    <n v="4.8"/>
    <n v="5664"/>
    <s v="Pendiente"/>
    <n v="2714"/>
    <n v="0.323943661971831"/>
    <s v="Alta"/>
  </r>
  <r>
    <s v="EX047"/>
    <d v="2026-01-18T00:00:00"/>
    <s v="Comercial Maya"/>
    <s v="P003"/>
    <x v="0"/>
    <s v="Apícola"/>
    <x v="0"/>
    <n v="0.03"/>
    <x v="0"/>
    <s v="Estratégico"/>
    <n v="920"/>
    <n v="4.8"/>
    <n v="4416"/>
    <n v="3.2"/>
    <n v="2944"/>
    <s v="Embarcado"/>
    <n v="1472"/>
    <n v="0.33333333333333331"/>
    <s v="Alta"/>
  </r>
  <r>
    <s v="EX048"/>
    <d v="2026-01-26T00:00:00"/>
    <s v="Distribuidora Tica"/>
    <s v="P004"/>
    <x v="2"/>
    <s v="Semillas"/>
    <x v="0"/>
    <n v="0.02"/>
    <x v="2"/>
    <s v="Estratégico"/>
    <n v="680"/>
    <n v="8.1999999999999993"/>
    <n v="5575.9999999999991"/>
    <n v="5.9"/>
    <n v="4012.0000000000005"/>
    <s v="Entregado"/>
    <n v="1563.9999999999986"/>
    <n v="0.28048780487804859"/>
    <s v="Mediana"/>
  </r>
  <r>
    <s v="EX049"/>
    <d v="2026-02-04T00:00:00"/>
    <s v="Iberia Foods"/>
    <s v="P001"/>
    <x v="1"/>
    <s v="Café"/>
    <x v="2"/>
    <n v="0.1"/>
    <x v="3"/>
    <s v="Potencial"/>
    <n v="1080"/>
    <n v="6.5"/>
    <n v="7020"/>
    <n v="4.0999999999999996"/>
    <n v="4428"/>
    <s v="Embarcado"/>
    <n v="2592"/>
    <n v="0.36923076923076925"/>
    <s v="Alta"/>
  </r>
  <r>
    <s v="EX050"/>
    <d v="2026-02-12T00:00:00"/>
    <s v="Comercial Azteca"/>
    <s v="P005"/>
    <x v="4"/>
    <s v="Aceites"/>
    <x v="1"/>
    <n v="0.08"/>
    <x v="4"/>
    <s v="Potencial"/>
    <n v="520"/>
    <n v="12.5"/>
    <n v="6500"/>
    <n v="8.6999999999999993"/>
    <n v="4524"/>
    <s v="Entregado"/>
    <n v="1976"/>
    <n v="0.30399999999999999"/>
    <s v="Alta"/>
  </r>
  <r>
    <s v="EX051"/>
    <d v="2026-02-21T00:00:00"/>
    <s v="Global Foods"/>
    <s v="P003"/>
    <x v="0"/>
    <s v="Apícola"/>
    <x v="1"/>
    <n v="0.05"/>
    <x v="1"/>
    <s v="Estratégico"/>
    <n v="1450"/>
    <n v="4.8"/>
    <n v="6960"/>
    <n v="3.2"/>
    <n v="4640"/>
    <s v="Entregado"/>
    <n v="2320"/>
    <n v="0.33333333333333331"/>
    <s v="Alta"/>
  </r>
  <r>
    <s v="EX052"/>
    <d v="2026-03-01T00:00:00"/>
    <s v="Comercial Maya"/>
    <s v="P002"/>
    <x v="3"/>
    <s v="Cacao"/>
    <x v="0"/>
    <n v="0.03"/>
    <x v="0"/>
    <s v="Estratégico"/>
    <n v="880"/>
    <n v="7.1"/>
    <n v="6248"/>
    <n v="4.8"/>
    <n v="4224"/>
    <s v="Pendiente"/>
    <n v="2024"/>
    <n v="0.323943661971831"/>
    <s v="Alta"/>
  </r>
  <r>
    <s v="EX053"/>
    <d v="2026-03-10T00:00:00"/>
    <s v="Distribuidora Tica"/>
    <s v="P001"/>
    <x v="1"/>
    <s v="Café"/>
    <x v="0"/>
    <n v="0.02"/>
    <x v="2"/>
    <s v="Estratégico"/>
    <n v="970"/>
    <n v="6.5"/>
    <n v="6305"/>
    <n v="4.0999999999999996"/>
    <n v="3976.9999999999995"/>
    <s v="Embarcado"/>
    <n v="2328.0000000000005"/>
    <n v="0.36923076923076931"/>
    <s v="Alta"/>
  </r>
  <r>
    <s v="EX054"/>
    <d v="2026-03-19T00:00:00"/>
    <s v="Iberia Foods"/>
    <s v="P004"/>
    <x v="2"/>
    <s v="Semillas"/>
    <x v="2"/>
    <n v="0.1"/>
    <x v="3"/>
    <s v="Potencial"/>
    <n v="760"/>
    <n v="8.1999999999999993"/>
    <n v="6231.9999999999991"/>
    <n v="5.9"/>
    <n v="4484"/>
    <s v="Entregado"/>
    <n v="1747.9999999999991"/>
    <n v="0.2804878048780487"/>
    <s v="Mediana"/>
  </r>
  <r>
    <s v="EX055"/>
    <d v="2026-03-28T00:00:00"/>
    <s v="Comercial Azteca"/>
    <s v="P003"/>
    <x v="0"/>
    <s v="Apícola"/>
    <x v="1"/>
    <n v="0.08"/>
    <x v="4"/>
    <s v="Potencial"/>
    <n v="620"/>
    <n v="4.8"/>
    <n v="2976"/>
    <n v="3.2"/>
    <n v="1984"/>
    <s v="Embarcado"/>
    <n v="992"/>
    <n v="0.33333333333333331"/>
    <s v="Alta"/>
  </r>
  <r>
    <s v="EX056"/>
    <d v="2026-04-06T00:00:00"/>
    <s v="Global Foods"/>
    <s v="P005"/>
    <x v="4"/>
    <s v="Aceites"/>
    <x v="1"/>
    <n v="0.05"/>
    <x v="1"/>
    <s v="Estratégico"/>
    <n v="820"/>
    <n v="12.5"/>
    <n v="10250"/>
    <n v="8.6999999999999993"/>
    <n v="7133.9999999999991"/>
    <s v="Entregado"/>
    <n v="3116.0000000000009"/>
    <n v="0.3040000000000001"/>
    <s v="Alta"/>
  </r>
  <r>
    <s v="EX057"/>
    <d v="2026-04-15T00:00:00"/>
    <s v="Comercial Maya"/>
    <s v="P001"/>
    <x v="1"/>
    <s v="Café"/>
    <x v="0"/>
    <n v="0.03"/>
    <x v="0"/>
    <s v="Estratégico"/>
    <n v="1250"/>
    <n v="6.5"/>
    <n v="8125"/>
    <n v="4.0999999999999996"/>
    <n v="5125"/>
    <s v="Entregado"/>
    <n v="3000"/>
    <n v="0.36923076923076925"/>
    <s v="Alta"/>
  </r>
  <r>
    <s v="EX058"/>
    <d v="2026-04-24T00:00:00"/>
    <s v="Distribuidora Tica"/>
    <s v="P002"/>
    <x v="3"/>
    <s v="Cacao"/>
    <x v="0"/>
    <n v="0.02"/>
    <x v="2"/>
    <s v="Estratégico"/>
    <n v="790"/>
    <n v="7.1"/>
    <n v="5609"/>
    <n v="4.8"/>
    <n v="3792"/>
    <s v="Embarcado"/>
    <n v="1817"/>
    <n v="0.323943661971831"/>
    <s v="Alta"/>
  </r>
  <r>
    <s v="EX059"/>
    <d v="2026-05-03T00:00:00"/>
    <s v="Iberia Foods"/>
    <s v="P003"/>
    <x v="0"/>
    <s v="Apícola"/>
    <x v="2"/>
    <n v="0.1"/>
    <x v="3"/>
    <s v="Potencial"/>
    <n v="980"/>
    <n v="4.8"/>
    <n v="4704"/>
    <n v="3.2"/>
    <n v="3136"/>
    <s v="Pendiente"/>
    <n v="1568"/>
    <n v="0.33333333333333331"/>
    <s v="Alta"/>
  </r>
  <r>
    <s v="EX060"/>
    <d v="2026-05-12T00:00:00"/>
    <s v="Comercial Azteca"/>
    <s v="P004"/>
    <x v="2"/>
    <s v="Semillas"/>
    <x v="1"/>
    <n v="0.08"/>
    <x v="4"/>
    <s v="Potencial"/>
    <n v="730"/>
    <n v="8.1999999999999993"/>
    <n v="5985.9999999999991"/>
    <n v="5.9"/>
    <n v="4307"/>
    <s v="Entregado"/>
    <n v="1678.9999999999991"/>
    <n v="0.2804878048780487"/>
    <s v="Mediana"/>
  </r>
  <r>
    <s v="EX061"/>
    <d v="2026-05-21T00:00:00"/>
    <s v="Global Foods"/>
    <s v="P001"/>
    <x v="1"/>
    <s v="Café"/>
    <x v="1"/>
    <n v="0.05"/>
    <x v="1"/>
    <s v="Estratégico"/>
    <n v="1320"/>
    <n v="6.5"/>
    <n v="8580"/>
    <n v="4.0999999999999996"/>
    <n v="5411.9999999999991"/>
    <s v="Embarcado"/>
    <n v="3168.0000000000009"/>
    <n v="0.36923076923076936"/>
    <s v="Alta"/>
  </r>
  <r>
    <s v="EX062"/>
    <d v="2026-05-30T00:00:00"/>
    <s v="Comercial Maya"/>
    <s v="P005"/>
    <x v="4"/>
    <s v="Aceites"/>
    <x v="0"/>
    <n v="0.03"/>
    <x v="0"/>
    <s v="Estratégico"/>
    <n v="470"/>
    <n v="12.5"/>
    <n v="5875"/>
    <n v="8.6999999999999993"/>
    <n v="4088.9999999999995"/>
    <s v="Entregado"/>
    <n v="1786.0000000000005"/>
    <n v="0.3040000000000001"/>
    <s v="Alta"/>
  </r>
  <r>
    <s v="EX063"/>
    <d v="2026-06-08T00:00:00"/>
    <s v="Distribuidora Tica"/>
    <s v="P003"/>
    <x v="0"/>
    <s v="Apícola"/>
    <x v="0"/>
    <n v="0.02"/>
    <x v="2"/>
    <s v="Estratégico"/>
    <n v="860"/>
    <n v="4.8"/>
    <n v="4128"/>
    <n v="3.2"/>
    <n v="2752"/>
    <s v="Entregado"/>
    <n v="1376"/>
    <n v="0.33333333333333331"/>
    <s v="Alta"/>
  </r>
  <r>
    <s v="EX064"/>
    <d v="2026-06-17T00:00:00"/>
    <s v="Iberia Foods"/>
    <s v="P002"/>
    <x v="3"/>
    <s v="Cacao"/>
    <x v="2"/>
    <n v="0.1"/>
    <x v="3"/>
    <s v="Potencial"/>
    <n v="1040"/>
    <n v="7.1"/>
    <n v="7384"/>
    <n v="4.8"/>
    <n v="4992"/>
    <s v="Embarcado"/>
    <n v="2392"/>
    <n v="0.323943661971831"/>
    <s v="Alta"/>
  </r>
  <r>
    <s v="EX065"/>
    <d v="2026-06-26T00:00:00"/>
    <s v="Comercial Azteca"/>
    <s v="P001"/>
    <x v="1"/>
    <s v="Café"/>
    <x v="1"/>
    <n v="0.08"/>
    <x v="4"/>
    <s v="Potencial"/>
    <n v="890"/>
    <n v="6.5"/>
    <n v="5785"/>
    <n v="4.0999999999999996"/>
    <n v="3648.9999999999995"/>
    <s v="Pendiente"/>
    <n v="2136.0000000000005"/>
    <n v="0.36923076923076931"/>
    <s v="Alta"/>
  </r>
  <r>
    <s v="EX066"/>
    <d v="2026-07-05T00:00:00"/>
    <s v="Global Foods"/>
    <s v="P004"/>
    <x v="2"/>
    <s v="Semillas"/>
    <x v="1"/>
    <n v="0.05"/>
    <x v="1"/>
    <s v="Estratégico"/>
    <n v="1170"/>
    <n v="8.1999999999999993"/>
    <n v="9594"/>
    <n v="5.9"/>
    <n v="6903"/>
    <s v="Entregado"/>
    <n v="2691"/>
    <n v="0.28048780487804881"/>
    <s v="Mediana"/>
  </r>
  <r>
    <s v="EX067"/>
    <d v="2026-07-14T00:00:00"/>
    <s v="Comercial Maya"/>
    <s v="P003"/>
    <x v="0"/>
    <s v="Apícola"/>
    <x v="0"/>
    <n v="0.03"/>
    <x v="0"/>
    <s v="Estratégico"/>
    <n v="760"/>
    <n v="4.8"/>
    <n v="3648"/>
    <n v="3.2"/>
    <n v="2432"/>
    <s v="Embarcado"/>
    <n v="1216"/>
    <n v="0.33333333333333331"/>
    <s v="Alta"/>
  </r>
  <r>
    <s v="EX068"/>
    <d v="2026-07-23T00:00:00"/>
    <s v="Distribuidora Tica"/>
    <s v="P005"/>
    <x v="4"/>
    <s v="Aceites"/>
    <x v="0"/>
    <n v="0.02"/>
    <x v="2"/>
    <s v="Estratégico"/>
    <n v="540"/>
    <n v="12.5"/>
    <n v="6750"/>
    <n v="8.6999999999999993"/>
    <n v="4698"/>
    <s v="Entregado"/>
    <n v="2052"/>
    <n v="0.30399999999999999"/>
    <s v="Alta"/>
  </r>
  <r>
    <s v="EX069"/>
    <d v="2026-08-01T00:00:00"/>
    <s v="Iberia Foods"/>
    <s v="P001"/>
    <x v="1"/>
    <s v="Café"/>
    <x v="2"/>
    <n v="0.1"/>
    <x v="3"/>
    <s v="Potencial"/>
    <n v="1280"/>
    <n v="6.5"/>
    <n v="8320"/>
    <n v="4.0999999999999996"/>
    <n v="5248"/>
    <s v="Embarcado"/>
    <n v="3072"/>
    <n v="0.36923076923076925"/>
    <s v="Alta"/>
  </r>
  <r>
    <s v="EX070"/>
    <d v="2026-08-10T00:00:00"/>
    <s v="Comercial Azteca"/>
    <s v="P002"/>
    <x v="3"/>
    <s v="Cacao"/>
    <x v="1"/>
    <n v="0.08"/>
    <x v="4"/>
    <s v="Potencial"/>
    <n v="930"/>
    <n v="7.1"/>
    <n v="6603"/>
    <n v="4.8"/>
    <n v="4464"/>
    <s v="Entregado"/>
    <n v="2139"/>
    <n v="0.323943661971831"/>
    <s v="Alta"/>
  </r>
  <r>
    <s v="EX071"/>
    <d v="2026-08-19T00:00:00"/>
    <s v="Global Foods"/>
    <s v="P003"/>
    <x v="0"/>
    <s v="Apícola"/>
    <x v="1"/>
    <n v="0.05"/>
    <x v="1"/>
    <s v="Estratégico"/>
    <n v="1550"/>
    <n v="4.8"/>
    <n v="7440"/>
    <n v="3.2"/>
    <n v="4960"/>
    <s v="Entregado"/>
    <n v="2480"/>
    <n v="0.33333333333333331"/>
    <s v="Alta"/>
  </r>
  <r>
    <s v="EX072"/>
    <d v="2026-08-28T00:00:00"/>
    <s v="Comercial Maya"/>
    <s v="P004"/>
    <x v="2"/>
    <s v="Semillas"/>
    <x v="0"/>
    <n v="0.03"/>
    <x v="0"/>
    <s v="Estratégico"/>
    <n v="690"/>
    <n v="8.1999999999999993"/>
    <n v="5657.9999999999991"/>
    <n v="5.9"/>
    <n v="4071.0000000000005"/>
    <s v="Pendiente"/>
    <n v="1586.9999999999986"/>
    <n v="0.28048780487804859"/>
    <s v="Mediana"/>
  </r>
  <r>
    <s v="EX073"/>
    <d v="2026-09-06T00:00:00"/>
    <s v="Distribuidora Tica"/>
    <s v="P001"/>
    <x v="1"/>
    <s v="Café"/>
    <x v="0"/>
    <n v="0.02"/>
    <x v="2"/>
    <s v="Estratégico"/>
    <n v="1020"/>
    <n v="6.5"/>
    <n v="6630"/>
    <n v="4.0999999999999996"/>
    <n v="4182"/>
    <s v="Embarcado"/>
    <n v="2448"/>
    <n v="0.36923076923076925"/>
    <s v="Alta"/>
  </r>
  <r>
    <s v="EX074"/>
    <d v="2026-09-15T00:00:00"/>
    <s v="Iberia Foods"/>
    <s v="P005"/>
    <x v="4"/>
    <s v="Aceites"/>
    <x v="2"/>
    <n v="0.1"/>
    <x v="3"/>
    <s v="Potencial"/>
    <n v="610"/>
    <n v="12.5"/>
    <n v="7625"/>
    <n v="8.6999999999999993"/>
    <n v="5307"/>
    <s v="Entregado"/>
    <n v="2318"/>
    <n v="0.30399999999999999"/>
    <s v="Alta"/>
  </r>
  <r>
    <s v="EX075"/>
    <d v="2026-09-24T00:00:00"/>
    <s v="Comercial Azteca"/>
    <s v="P003"/>
    <x v="0"/>
    <s v="Apícola"/>
    <x v="1"/>
    <n v="0.08"/>
    <x v="4"/>
    <s v="Potencial"/>
    <n v="840"/>
    <n v="4.8"/>
    <n v="4032"/>
    <n v="3.2"/>
    <n v="2688"/>
    <s v="Embarcado"/>
    <n v="1344"/>
    <n v="0.33333333333333331"/>
    <s v="Alta"/>
  </r>
  <r>
    <s v="EX076"/>
    <d v="2026-10-03T00:00:00"/>
    <s v="Global Foods"/>
    <s v="P002"/>
    <x v="3"/>
    <s v="Cacao"/>
    <x v="1"/>
    <n v="0.05"/>
    <x v="1"/>
    <s v="Estratégico"/>
    <n v="1210"/>
    <n v="7.1"/>
    <n v="8591"/>
    <n v="4.8"/>
    <n v="5808"/>
    <s v="Entregado"/>
    <n v="2783"/>
    <n v="0.323943661971831"/>
    <s v="Alta"/>
  </r>
  <r>
    <s v="EX077"/>
    <d v="2026-10-12T00:00:00"/>
    <s v="Comercial Maya"/>
    <s v="P001"/>
    <x v="1"/>
    <s v="Café"/>
    <x v="0"/>
    <n v="0.03"/>
    <x v="0"/>
    <s v="Estratégico"/>
    <n v="1080"/>
    <n v="6.5"/>
    <n v="7020"/>
    <n v="4.0999999999999996"/>
    <n v="4428"/>
    <s v="Entregado"/>
    <n v="2592"/>
    <n v="0.36923076923076925"/>
    <s v="Alta"/>
  </r>
  <r>
    <s v="EX078"/>
    <d v="2026-10-21T00:00:00"/>
    <s v="Distribuidora Tica"/>
    <s v="P004"/>
    <x v="2"/>
    <s v="Semillas"/>
    <x v="0"/>
    <n v="0.02"/>
    <x v="2"/>
    <s v="Estratégico"/>
    <n v="720"/>
    <n v="8.1999999999999993"/>
    <n v="5903.9999999999991"/>
    <n v="5.9"/>
    <n v="4248"/>
    <s v="Embarcado"/>
    <n v="1655.9999999999991"/>
    <n v="0.2804878048780487"/>
    <s v="Mediana"/>
  </r>
  <r>
    <s v="EX079"/>
    <d v="2026-10-30T00:00:00"/>
    <s v="Iberia Foods"/>
    <s v="P003"/>
    <x v="0"/>
    <s v="Apícola"/>
    <x v="2"/>
    <n v="0.1"/>
    <x v="3"/>
    <s v="Potencial"/>
    <n v="1160"/>
    <n v="4.8"/>
    <n v="5568"/>
    <n v="3.2"/>
    <n v="3712"/>
    <s v="Pendiente"/>
    <n v="1856"/>
    <n v="0.33333333333333331"/>
    <s v="Alta"/>
  </r>
  <r>
    <s v="EX080"/>
    <d v="2026-11-08T00:00:00"/>
    <s v="Comercial Azteca"/>
    <s v="P005"/>
    <x v="4"/>
    <s v="Aceites"/>
    <x v="1"/>
    <n v="0.08"/>
    <x v="4"/>
    <s v="Potencial"/>
    <n v="560"/>
    <n v="12.5"/>
    <n v="7000"/>
    <n v="8.6999999999999993"/>
    <n v="4872"/>
    <s v="Entregado"/>
    <n v="2128"/>
    <n v="0.30399999999999999"/>
    <s v="Alta"/>
  </r>
  <r>
    <s v="EX081"/>
    <d v="2026-11-17T00:00:00"/>
    <s v="Global Foods"/>
    <s v="P001"/>
    <x v="1"/>
    <s v="Café"/>
    <x v="1"/>
    <n v="0.05"/>
    <x v="1"/>
    <s v="Estratégico"/>
    <n v="1380"/>
    <n v="6.5"/>
    <n v="8970"/>
    <n v="4.0999999999999996"/>
    <n v="5657.9999999999991"/>
    <s v="Embarcado"/>
    <n v="3312.0000000000009"/>
    <n v="0.36923076923076931"/>
    <s v="Alta"/>
  </r>
  <r>
    <s v="EX082"/>
    <d v="2026-11-26T00:00:00"/>
    <s v="Comercial Maya"/>
    <s v="P002"/>
    <x v="3"/>
    <s v="Cacao"/>
    <x v="0"/>
    <n v="0.03"/>
    <x v="0"/>
    <s v="Estratégico"/>
    <n v="940"/>
    <n v="7.1"/>
    <n v="6674"/>
    <n v="4.8"/>
    <n v="4512"/>
    <s v="Entregado"/>
    <n v="2162"/>
    <n v="0.323943661971831"/>
    <s v="Alta"/>
  </r>
  <r>
    <s v="EX083"/>
    <d v="2026-12-05T00:00:00"/>
    <s v="Distribuidora Tica"/>
    <s v="P003"/>
    <x v="0"/>
    <s v="Apícola"/>
    <x v="0"/>
    <n v="0.02"/>
    <x v="2"/>
    <s v="Estratégico"/>
    <n v="870"/>
    <n v="4.8"/>
    <n v="4176"/>
    <n v="3.2"/>
    <n v="2784"/>
    <s v="Embarcado"/>
    <n v="1392"/>
    <n v="0.33333333333333331"/>
    <s v="Alta"/>
  </r>
  <r>
    <s v="EX084"/>
    <d v="2026-12-14T00:00:00"/>
    <s v="Iberia Foods"/>
    <s v="P004"/>
    <x v="2"/>
    <s v="Semillas"/>
    <x v="2"/>
    <n v="0.1"/>
    <x v="3"/>
    <s v="Potencial"/>
    <n v="810"/>
    <n v="8.1999999999999993"/>
    <n v="6641.9999999999991"/>
    <n v="5.9"/>
    <n v="4779"/>
    <s v="Entregado"/>
    <n v="1862.9999999999991"/>
    <n v="0.2804878048780487"/>
    <s v="Mediana"/>
  </r>
  <r>
    <s v="EX085"/>
    <d v="2026-12-23T00:00:00"/>
    <s v="Comercial Azteca"/>
    <s v="P001"/>
    <x v="1"/>
    <s v="Café"/>
    <x v="1"/>
    <n v="0.08"/>
    <x v="4"/>
    <s v="Potencial"/>
    <n v="990"/>
    <n v="6.5"/>
    <n v="6435"/>
    <n v="4.0999999999999996"/>
    <n v="4058.9999999999995"/>
    <s v="Pendiente"/>
    <n v="2376.0000000000005"/>
    <n v="0.36923076923076931"/>
    <s v="Alta"/>
  </r>
  <r>
    <s v="EX086"/>
    <d v="2026-12-30T00:00:00"/>
    <s v="Global Foods"/>
    <s v="P005"/>
    <x v="4"/>
    <s v="Aceites"/>
    <x v="1"/>
    <n v="0.05"/>
    <x v="1"/>
    <s v="Estratégico"/>
    <n v="730"/>
    <n v="12.5"/>
    <n v="9125"/>
    <n v="8.6999999999999993"/>
    <n v="6350.9999999999991"/>
    <s v="Entregado"/>
    <n v="2774.0000000000009"/>
    <n v="0.3040000000000001"/>
    <s v="Alta"/>
  </r>
  <r>
    <s v="EX087"/>
    <d v="2026-01-07T00:00:00"/>
    <s v="Comercial Maya"/>
    <s v="P004"/>
    <x v="2"/>
    <s v="Semillas"/>
    <x v="0"/>
    <n v="0.03"/>
    <x v="0"/>
    <s v="Estratégico"/>
    <n v="780"/>
    <n v="8.1999999999999993"/>
    <n v="6395.9999999999991"/>
    <n v="5.9"/>
    <n v="4602"/>
    <s v="Embarcado"/>
    <n v="1793.9999999999991"/>
    <n v="0.2804878048780487"/>
    <s v="Mediana"/>
  </r>
  <r>
    <s v="EX088"/>
    <d v="2026-01-16T00:00:00"/>
    <s v="Distribuidora Tica"/>
    <s v="P003"/>
    <x v="0"/>
    <s v="Apícola"/>
    <x v="0"/>
    <n v="0.02"/>
    <x v="2"/>
    <s v="Estratégico"/>
    <n v="930"/>
    <n v="4.8"/>
    <n v="4464"/>
    <n v="3.2"/>
    <n v="2976"/>
    <s v="Entregado"/>
    <n v="1488"/>
    <n v="0.33333333333333331"/>
    <s v="Alta"/>
  </r>
  <r>
    <s v="EX089"/>
    <d v="2026-01-25T00:00:00"/>
    <s v="Iberia Foods"/>
    <s v="P002"/>
    <x v="3"/>
    <s v="Cacao"/>
    <x v="2"/>
    <n v="0.1"/>
    <x v="3"/>
    <s v="Potencial"/>
    <n v="870"/>
    <n v="7.1"/>
    <n v="6177"/>
    <n v="4.8"/>
    <n v="4176"/>
    <s v="Pendiente"/>
    <n v="2001"/>
    <n v="0.323943661971831"/>
    <s v="Alta"/>
  </r>
  <r>
    <s v="EX090"/>
    <d v="2026-02-06T00:00:00"/>
    <s v="Comercial Azteca"/>
    <s v="P005"/>
    <x v="4"/>
    <s v="Aceites"/>
    <x v="1"/>
    <n v="0.08"/>
    <x v="4"/>
    <s v="Potencial"/>
    <n v="480"/>
    <n v="12.5"/>
    <n v="6000"/>
    <n v="8.6999999999999993"/>
    <n v="4176"/>
    <s v="Embarcado"/>
    <n v="1824"/>
    <n v="0.30399999999999999"/>
    <s v="Alta"/>
  </r>
  <r>
    <s v="EX091"/>
    <d v="2026-02-15T00:00:00"/>
    <s v="Global Foods"/>
    <s v="P001"/>
    <x v="1"/>
    <s v="Café"/>
    <x v="1"/>
    <n v="0.05"/>
    <x v="1"/>
    <s v="Estratégico"/>
    <n v="1260"/>
    <n v="6.5"/>
    <n v="8190"/>
    <n v="4.0999999999999996"/>
    <n v="5166"/>
    <s v="Entregado"/>
    <n v="3024"/>
    <n v="0.36923076923076925"/>
    <s v="Alta"/>
  </r>
  <r>
    <s v="EX092"/>
    <d v="2026-02-24T00:00:00"/>
    <s v="Comercial Maya"/>
    <s v="P003"/>
    <x v="0"/>
    <s v="Apícola"/>
    <x v="0"/>
    <n v="0.03"/>
    <x v="0"/>
    <s v="Estratégico"/>
    <n v="1100"/>
    <n v="4.8"/>
    <n v="5280"/>
    <n v="3.2"/>
    <n v="3520"/>
    <s v="Embarcado"/>
    <n v="1760"/>
    <n v="0.33333333333333331"/>
    <s v="Alta"/>
  </r>
  <r>
    <s v="EX093"/>
    <d v="2026-03-05T00:00:00"/>
    <s v="Distribuidora Tica"/>
    <s v="P005"/>
    <x v="4"/>
    <s v="Aceites"/>
    <x v="0"/>
    <n v="0.02"/>
    <x v="2"/>
    <s v="Estratégico"/>
    <n v="570"/>
    <n v="12.5"/>
    <n v="7125"/>
    <n v="8.6999999999999993"/>
    <n v="4959"/>
    <s v="Entregado"/>
    <n v="2166"/>
    <n v="0.30399999999999999"/>
    <s v="Alta"/>
  </r>
  <r>
    <s v="EX094"/>
    <d v="2026-03-14T00:00:00"/>
    <s v="Iberia Foods"/>
    <s v="P004"/>
    <x v="2"/>
    <s v="Semillas"/>
    <x v="2"/>
    <n v="0.1"/>
    <x v="3"/>
    <s v="Potencial"/>
    <n v="880"/>
    <n v="8.1999999999999993"/>
    <n v="7215.9999999999991"/>
    <n v="5.9"/>
    <n v="5192"/>
    <s v="Embarcado"/>
    <n v="2023.9999999999991"/>
    <n v="0.2804878048780487"/>
    <s v="Mediana"/>
  </r>
  <r>
    <s v="EX095"/>
    <d v="2026-03-23T00:00:00"/>
    <s v="Comercial Azteca"/>
    <s v="P002"/>
    <x v="3"/>
    <s v="Cacao"/>
    <x v="1"/>
    <n v="0.08"/>
    <x v="4"/>
    <s v="Potencial"/>
    <n v="1060"/>
    <n v="7.1"/>
    <n v="7526"/>
    <n v="4.8"/>
    <n v="5088"/>
    <s v="Entregado"/>
    <n v="2438"/>
    <n v="0.323943661971831"/>
    <s v="Alta"/>
  </r>
  <r>
    <s v="EX096"/>
    <d v="2026-04-02T00:00:00"/>
    <s v="Global Foods"/>
    <s v="P003"/>
    <x v="0"/>
    <s v="Apícola"/>
    <x v="1"/>
    <n v="0.05"/>
    <x v="1"/>
    <s v="Estratégico"/>
    <n v="1490"/>
    <n v="4.8"/>
    <n v="7152"/>
    <n v="3.2"/>
    <n v="4768"/>
    <s v="Pendiente"/>
    <n v="2384"/>
    <n v="0.33333333333333331"/>
    <s v="Alta"/>
  </r>
  <r>
    <s v="EX097"/>
    <d v="2026-04-11T00:00:00"/>
    <s v="Comercial Maya"/>
    <s v="P001"/>
    <x v="1"/>
    <s v="Café"/>
    <x v="0"/>
    <n v="0.03"/>
    <x v="0"/>
    <s v="Estratégico"/>
    <n v="910"/>
    <n v="6.5"/>
    <n v="5915"/>
    <n v="4.0999999999999996"/>
    <n v="3730.9999999999995"/>
    <s v="Embarcado"/>
    <n v="2184.0000000000005"/>
    <n v="0.36923076923076931"/>
    <s v="Alta"/>
  </r>
  <r>
    <s v="EX098"/>
    <d v="2026-04-20T00:00:00"/>
    <s v="Distribuidora Tica"/>
    <s v="P004"/>
    <x v="2"/>
    <s v="Semillas"/>
    <x v="0"/>
    <n v="0.02"/>
    <x v="2"/>
    <s v="Estratégico"/>
    <n v="740"/>
    <n v="8.1999999999999993"/>
    <n v="6067.9999999999991"/>
    <n v="5.9"/>
    <n v="4366"/>
    <s v="Entregado"/>
    <n v="1701.9999999999991"/>
    <n v="0.2804878048780487"/>
    <s v="Mediana"/>
  </r>
  <r>
    <s v="EX099"/>
    <d v="2026-04-29T00:00:00"/>
    <s v="Iberia Foods"/>
    <s v="P005"/>
    <x v="4"/>
    <s v="Aceites"/>
    <x v="2"/>
    <n v="0.1"/>
    <x v="3"/>
    <s v="Potencial"/>
    <n v="630"/>
    <n v="12.5"/>
    <n v="7875"/>
    <n v="8.6999999999999993"/>
    <n v="5481"/>
    <s v="Embarcado"/>
    <n v="2394"/>
    <n v="0.30399999999999999"/>
    <s v="Alta"/>
  </r>
  <r>
    <s v="EX100"/>
    <d v="2026-05-08T00:00:00"/>
    <s v="Comercial Azteca"/>
    <s v="P001"/>
    <x v="1"/>
    <s v="Café"/>
    <x v="1"/>
    <n v="0.08"/>
    <x v="4"/>
    <s v="Potencial"/>
    <n v="1170"/>
    <n v="6.5"/>
    <n v="7605"/>
    <n v="4.0999999999999996"/>
    <n v="4797"/>
    <s v="Entregado"/>
    <n v="2808"/>
    <n v="0.36923076923076925"/>
    <s v="A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10:C116" firstHeaderRow="1" firstDataRow="1" firstDataCol="1"/>
  <pivotFields count="19">
    <pivotField showAll="0"/>
    <pivotField numFmtId="14"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9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numFmtId="9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9">
  <location ref="A3:B9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numFmtId="9"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numFmtId="164" showAll="0"/>
    <pivotField showAll="0"/>
    <pivotField numFmtId="164" showAll="0"/>
    <pivotField showAll="0"/>
    <pivotField numFmtId="164" showAll="0"/>
    <pivotField numFmtId="9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FOB" fld="12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4">
  <location ref="A3:B9" firstHeaderRow="1" firstDataRow="1" firstDataCol="1"/>
  <pivotFields count="19">
    <pivotField showAll="0"/>
    <pivotField numFmtId="14"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numFmtId="9"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numFmtId="9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Utilidad" fld="16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dinámica3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16">
  <location ref="A3:B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9" showAll="0"/>
    <pivotField showAll="0"/>
    <pivotField showAll="0"/>
    <pivotField showAll="0"/>
    <pivotField showAll="0"/>
    <pivotField dataField="1" numFmtId="164" showAll="0"/>
    <pivotField showAll="0"/>
    <pivotField numFmtId="164" showAll="0"/>
    <pivotField showAll="0"/>
    <pivotField numFmtId="164" showAll="0"/>
    <pivotField numFmtId="9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alor FOB" fld="12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32"/>
  <sheetViews>
    <sheetView topLeftCell="B110" workbookViewId="0">
      <selection activeCell="D113" sqref="D113"/>
    </sheetView>
  </sheetViews>
  <sheetFormatPr baseColWidth="10" defaultRowHeight="15" x14ac:dyDescent="0.25"/>
  <cols>
    <col min="2" max="2" width="48.140625" bestFit="1" customWidth="1"/>
    <col min="3" max="3" width="16.28515625" style="2" bestFit="1" customWidth="1"/>
    <col min="4" max="4" width="16.42578125" customWidth="1"/>
    <col min="5" max="7" width="16" customWidth="1"/>
    <col min="8" max="8" width="20.7109375" customWidth="1"/>
    <col min="9" max="9" width="16" customWidth="1"/>
    <col min="10" max="11" width="11.7109375" customWidth="1"/>
    <col min="15" max="15" width="13" bestFit="1" customWidth="1"/>
    <col min="16" max="16" width="13" customWidth="1"/>
    <col min="17" max="17" width="10.7109375" customWidth="1"/>
    <col min="20" max="20" width="17.7109375" customWidth="1"/>
  </cols>
  <sheetData>
    <row r="1" spans="2:20" x14ac:dyDescent="0.25">
      <c r="E1" s="2"/>
      <c r="F1" s="2"/>
      <c r="G1" s="2"/>
      <c r="H1" s="2"/>
      <c r="I1" s="2"/>
    </row>
    <row r="3" spans="2:20" x14ac:dyDescent="0.25">
      <c r="B3" s="4" t="s">
        <v>151</v>
      </c>
      <c r="C3" s="4" t="s">
        <v>0</v>
      </c>
      <c r="D3" s="4" t="s">
        <v>1</v>
      </c>
      <c r="E3" s="4" t="s">
        <v>2</v>
      </c>
      <c r="F3" s="4" t="s">
        <v>35</v>
      </c>
      <c r="G3" s="4" t="s">
        <v>36</v>
      </c>
      <c r="H3" s="4" t="s">
        <v>50</v>
      </c>
      <c r="I3" s="4" t="s">
        <v>155</v>
      </c>
      <c r="J3" s="4" t="s">
        <v>3</v>
      </c>
      <c r="K3" s="4" t="s">
        <v>156</v>
      </c>
      <c r="L3" s="4" t="s">
        <v>4</v>
      </c>
      <c r="M3" s="4" t="s">
        <v>5</v>
      </c>
      <c r="N3" s="4" t="s">
        <v>157</v>
      </c>
      <c r="O3" s="4" t="s">
        <v>6</v>
      </c>
      <c r="P3" s="4" t="s">
        <v>158</v>
      </c>
      <c r="Q3" s="4" t="s">
        <v>7</v>
      </c>
      <c r="R3" s="10" t="s">
        <v>159</v>
      </c>
      <c r="S3" s="10" t="s">
        <v>160</v>
      </c>
      <c r="T3" s="10" t="s">
        <v>161</v>
      </c>
    </row>
    <row r="4" spans="2:20" x14ac:dyDescent="0.25">
      <c r="B4" s="1" t="s">
        <v>8</v>
      </c>
      <c r="C4" s="8">
        <v>46027</v>
      </c>
      <c r="D4" s="1" t="s">
        <v>9</v>
      </c>
      <c r="E4" s="6" t="s">
        <v>10</v>
      </c>
      <c r="F4" s="6" t="str">
        <f>VLOOKUP(E4,'2. Productos'!$C$4:F8,2,0)</f>
        <v>Miel natural</v>
      </c>
      <c r="G4" s="6" t="str">
        <f>VLOOKUP(E4,'2. Productos'!$C$4:F8,3,0)</f>
        <v>Apícola</v>
      </c>
      <c r="H4" s="6" t="str">
        <f>VLOOKUP(J4,'3. Mercados'!$C$4:$F$9,2,0)</f>
        <v>Centroamérica</v>
      </c>
      <c r="I4" s="11">
        <f>VLOOKUP(J4,'3. Mercados'!$C$4:$F$9,3,0)</f>
        <v>0.03</v>
      </c>
      <c r="J4" s="1" t="s">
        <v>11</v>
      </c>
      <c r="K4" s="1" t="str">
        <f>VLOOKUP(J4,'3. Mercados'!$C$4:$F$9,4,0)</f>
        <v>Estratégico</v>
      </c>
      <c r="L4" s="1">
        <v>850</v>
      </c>
      <c r="M4" s="1">
        <v>4.8</v>
      </c>
      <c r="N4" s="12">
        <f>+L4*M4</f>
        <v>4080</v>
      </c>
      <c r="O4" s="1">
        <v>3.2</v>
      </c>
      <c r="P4" s="12">
        <f>+L4*O4</f>
        <v>2720</v>
      </c>
      <c r="Q4" s="9" t="s">
        <v>12</v>
      </c>
      <c r="R4" s="14">
        <f>+N4-P4</f>
        <v>1360</v>
      </c>
      <c r="S4" s="15">
        <f>+R4/N4</f>
        <v>0.33333333333333331</v>
      </c>
      <c r="T4" s="9" t="str">
        <f>IF(S4&lt;=15%, "Baja", IF(S4&lt;=29%, "Mediana", "Alta"))</f>
        <v>Alta</v>
      </c>
    </row>
    <row r="5" spans="2:20" x14ac:dyDescent="0.25">
      <c r="B5" s="1" t="s">
        <v>13</v>
      </c>
      <c r="C5" s="8">
        <v>46034</v>
      </c>
      <c r="D5" s="1" t="s">
        <v>14</v>
      </c>
      <c r="E5" s="6" t="s">
        <v>15</v>
      </c>
      <c r="F5" s="6" t="str">
        <f>VLOOKUP(E5,'2. Productos'!$C$4:F9,2,0)</f>
        <v>Café especial</v>
      </c>
      <c r="G5" s="6" t="str">
        <f>VLOOKUP(E5,'2. Productos'!$C$4:F9,3,0)</f>
        <v>Café</v>
      </c>
      <c r="H5" s="6" t="str">
        <f>VLOOKUP(J5,'3. Mercados'!$C$4:$F$9,2,0)</f>
        <v>Norteamérica</v>
      </c>
      <c r="I5" s="11">
        <f>VLOOKUP(J5,'3. Mercados'!$C$4:$F$9,3,0)</f>
        <v>0.05</v>
      </c>
      <c r="J5" s="1" t="s">
        <v>16</v>
      </c>
      <c r="K5" s="1" t="str">
        <f>VLOOKUP(J5,'3. Mercados'!$C$4:$F$9,4,0)</f>
        <v>Estratégico</v>
      </c>
      <c r="L5" s="1">
        <v>1200</v>
      </c>
      <c r="M5" s="1">
        <v>6.5</v>
      </c>
      <c r="N5" s="12">
        <f t="shared" ref="N5:N68" si="0">+L5*M5</f>
        <v>7800</v>
      </c>
      <c r="O5" s="1">
        <v>4.0999999999999996</v>
      </c>
      <c r="P5" s="12">
        <f t="shared" ref="P5:P68" si="1">+L5*O5</f>
        <v>4920</v>
      </c>
      <c r="Q5" s="9" t="s">
        <v>17</v>
      </c>
      <c r="R5" s="14">
        <f t="shared" ref="R5:R68" si="2">+N5-P5</f>
        <v>2880</v>
      </c>
      <c r="S5" s="15">
        <f t="shared" ref="S5:S68" si="3">+R5/N5</f>
        <v>0.36923076923076925</v>
      </c>
      <c r="T5" s="9" t="str">
        <f t="shared" ref="T5:T68" si="4">IF(S5&lt;=15%, "Baja", IF(S5&lt;=29%, "Mediana", "Alta"))</f>
        <v>Alta</v>
      </c>
    </row>
    <row r="6" spans="2:20" x14ac:dyDescent="0.25">
      <c r="B6" s="1" t="s">
        <v>18</v>
      </c>
      <c r="C6" s="8">
        <v>46042</v>
      </c>
      <c r="D6" s="1" t="s">
        <v>19</v>
      </c>
      <c r="E6" s="6" t="s">
        <v>20</v>
      </c>
      <c r="F6" s="6" t="str">
        <f>VLOOKUP(E6,'2. Productos'!$C$4:F10,2,0)</f>
        <v>Maní procesado</v>
      </c>
      <c r="G6" s="6" t="str">
        <f>VLOOKUP(E6,'2. Productos'!$C$4:F10,3,0)</f>
        <v>Semillas</v>
      </c>
      <c r="H6" s="6" t="str">
        <f>VLOOKUP(J6,'3. Mercados'!$C$4:$F$9,2,0)</f>
        <v>Centroamérica</v>
      </c>
      <c r="I6" s="11">
        <f>VLOOKUP(J6,'3. Mercados'!$C$4:$F$9,3,0)</f>
        <v>0.02</v>
      </c>
      <c r="J6" s="1" t="s">
        <v>21</v>
      </c>
      <c r="K6" s="1" t="str">
        <f>VLOOKUP(J6,'3. Mercados'!$C$4:$F$9,4,0)</f>
        <v>Estratégico</v>
      </c>
      <c r="L6" s="1">
        <v>650</v>
      </c>
      <c r="M6" s="1">
        <v>8.1999999999999993</v>
      </c>
      <c r="N6" s="12">
        <f t="shared" si="0"/>
        <v>5329.9999999999991</v>
      </c>
      <c r="O6" s="1">
        <v>5.9</v>
      </c>
      <c r="P6" s="12">
        <f t="shared" si="1"/>
        <v>3835.0000000000005</v>
      </c>
      <c r="Q6" s="9" t="s">
        <v>12</v>
      </c>
      <c r="R6" s="14">
        <f t="shared" si="2"/>
        <v>1494.9999999999986</v>
      </c>
      <c r="S6" s="15">
        <f t="shared" si="3"/>
        <v>0.28048780487804859</v>
      </c>
      <c r="T6" s="9" t="str">
        <f t="shared" si="4"/>
        <v>Mediana</v>
      </c>
    </row>
    <row r="7" spans="2:20" x14ac:dyDescent="0.25">
      <c r="B7" s="1" t="s">
        <v>22</v>
      </c>
      <c r="C7" s="8">
        <v>46056</v>
      </c>
      <c r="D7" s="1" t="s">
        <v>23</v>
      </c>
      <c r="E7" s="6" t="s">
        <v>24</v>
      </c>
      <c r="F7" s="6" t="str">
        <f>VLOOKUP(E7,'2. Productos'!$C$4:F11,2,0)</f>
        <v>Cacao en grano</v>
      </c>
      <c r="G7" s="6" t="str">
        <f>VLOOKUP(E7,'2. Productos'!$C$4:F11,3,0)</f>
        <v>Cacao</v>
      </c>
      <c r="H7" s="6" t="str">
        <f>VLOOKUP(J7,'3. Mercados'!$C$4:$F$9,2,0)</f>
        <v>Europa</v>
      </c>
      <c r="I7" s="11">
        <f>VLOOKUP(J7,'3. Mercados'!$C$4:$F$9,3,0)</f>
        <v>0.1</v>
      </c>
      <c r="J7" s="1" t="s">
        <v>25</v>
      </c>
      <c r="K7" s="1" t="str">
        <f>VLOOKUP(J7,'3. Mercados'!$C$4:$F$9,4,0)</f>
        <v>Potencial</v>
      </c>
      <c r="L7" s="1">
        <v>950</v>
      </c>
      <c r="M7" s="1">
        <v>7.1</v>
      </c>
      <c r="N7" s="12">
        <f t="shared" si="0"/>
        <v>6745</v>
      </c>
      <c r="O7" s="1">
        <v>4.8</v>
      </c>
      <c r="P7" s="12">
        <f t="shared" si="1"/>
        <v>4560</v>
      </c>
      <c r="Q7" s="9" t="s">
        <v>26</v>
      </c>
      <c r="R7" s="14">
        <f t="shared" si="2"/>
        <v>2185</v>
      </c>
      <c r="S7" s="15">
        <f t="shared" si="3"/>
        <v>0.323943661971831</v>
      </c>
      <c r="T7" s="9" t="str">
        <f t="shared" si="4"/>
        <v>Alta</v>
      </c>
    </row>
    <row r="8" spans="2:20" x14ac:dyDescent="0.25">
      <c r="B8" s="1" t="s">
        <v>27</v>
      </c>
      <c r="C8" s="8">
        <v>46068</v>
      </c>
      <c r="D8" s="1" t="s">
        <v>28</v>
      </c>
      <c r="E8" s="6" t="s">
        <v>29</v>
      </c>
      <c r="F8" s="6" t="str">
        <f>VLOOKUP(E8,'2. Productos'!$C$4:F12,2,0)</f>
        <v>Aceite de ajonjolí</v>
      </c>
      <c r="G8" s="6" t="str">
        <f>VLOOKUP(E8,'2. Productos'!$C$4:F12,3,0)</f>
        <v>Aceites</v>
      </c>
      <c r="H8" s="6" t="str">
        <f>VLOOKUP(J8,'3. Mercados'!$C$4:$F$9,2,0)</f>
        <v>Norteamérica</v>
      </c>
      <c r="I8" s="11">
        <f>VLOOKUP(J8,'3. Mercados'!$C$4:$F$9,3,0)</f>
        <v>0.08</v>
      </c>
      <c r="J8" s="1" t="s">
        <v>30</v>
      </c>
      <c r="K8" s="1" t="str">
        <f>VLOOKUP(J8,'3. Mercados'!$C$4:$F$9,4,0)</f>
        <v>Potencial</v>
      </c>
      <c r="L8" s="1">
        <v>500</v>
      </c>
      <c r="M8" s="1">
        <v>12.5</v>
      </c>
      <c r="N8" s="12">
        <f t="shared" si="0"/>
        <v>6250</v>
      </c>
      <c r="O8" s="1">
        <v>8.6999999999999993</v>
      </c>
      <c r="P8" s="12">
        <f t="shared" si="1"/>
        <v>4350</v>
      </c>
      <c r="Q8" s="9" t="s">
        <v>17</v>
      </c>
      <c r="R8" s="14">
        <f t="shared" si="2"/>
        <v>1900</v>
      </c>
      <c r="S8" s="15">
        <f t="shared" si="3"/>
        <v>0.30399999999999999</v>
      </c>
      <c r="T8" s="9" t="str">
        <f t="shared" si="4"/>
        <v>Alta</v>
      </c>
    </row>
    <row r="9" spans="2:20" x14ac:dyDescent="0.25">
      <c r="B9" s="1" t="s">
        <v>31</v>
      </c>
      <c r="C9" s="8">
        <v>46081</v>
      </c>
      <c r="D9" s="1" t="s">
        <v>14</v>
      </c>
      <c r="E9" s="6" t="s">
        <v>10</v>
      </c>
      <c r="F9" s="6" t="str">
        <f>VLOOKUP(E9,'2. Productos'!$C$4:F13,2,0)</f>
        <v>Miel natural</v>
      </c>
      <c r="G9" s="6" t="str">
        <f>VLOOKUP(E9,'2. Productos'!$C$4:F13,3,0)</f>
        <v>Apícola</v>
      </c>
      <c r="H9" s="6" t="str">
        <f>VLOOKUP(J9,'3. Mercados'!$C$4:$F$9,2,0)</f>
        <v>Norteamérica</v>
      </c>
      <c r="I9" s="11">
        <f>VLOOKUP(J9,'3. Mercados'!$C$4:$F$9,3,0)</f>
        <v>0.05</v>
      </c>
      <c r="J9" s="1" t="s">
        <v>16</v>
      </c>
      <c r="K9" s="1" t="str">
        <f>VLOOKUP(J9,'3. Mercados'!$C$4:$F$9,4,0)</f>
        <v>Estratégico</v>
      </c>
      <c r="L9" s="1">
        <v>1400</v>
      </c>
      <c r="M9" s="1">
        <v>4.8</v>
      </c>
      <c r="N9" s="12">
        <f t="shared" si="0"/>
        <v>6720</v>
      </c>
      <c r="O9" s="1">
        <v>3.2</v>
      </c>
      <c r="P9" s="12">
        <f t="shared" si="1"/>
        <v>4480</v>
      </c>
      <c r="Q9" s="9" t="s">
        <v>17</v>
      </c>
      <c r="R9" s="14">
        <f t="shared" si="2"/>
        <v>2240</v>
      </c>
      <c r="S9" s="15">
        <f t="shared" si="3"/>
        <v>0.33333333333333331</v>
      </c>
      <c r="T9" s="9" t="str">
        <f t="shared" si="4"/>
        <v>Alta</v>
      </c>
    </row>
    <row r="10" spans="2:20" x14ac:dyDescent="0.25">
      <c r="B10" s="1" t="s">
        <v>32</v>
      </c>
      <c r="C10" s="8">
        <v>46089</v>
      </c>
      <c r="D10" s="1" t="s">
        <v>19</v>
      </c>
      <c r="E10" s="6" t="s">
        <v>15</v>
      </c>
      <c r="F10" s="6" t="str">
        <f>VLOOKUP(E10,'2. Productos'!$C$4:F14,2,0)</f>
        <v>Café especial</v>
      </c>
      <c r="G10" s="6" t="str">
        <f>VLOOKUP(E10,'2. Productos'!$C$4:F14,3,0)</f>
        <v>Café</v>
      </c>
      <c r="H10" s="6" t="str">
        <f>VLOOKUP(J10,'3. Mercados'!$C$4:$F$9,2,0)</f>
        <v>Centroamérica</v>
      </c>
      <c r="I10" s="11">
        <f>VLOOKUP(J10,'3. Mercados'!$C$4:$F$9,3,0)</f>
        <v>0.02</v>
      </c>
      <c r="J10" s="1" t="s">
        <v>21</v>
      </c>
      <c r="K10" s="1" t="str">
        <f>VLOOKUP(J10,'3. Mercados'!$C$4:$F$9,4,0)</f>
        <v>Estratégico</v>
      </c>
      <c r="L10" s="1">
        <v>900</v>
      </c>
      <c r="M10" s="1">
        <v>6.5</v>
      </c>
      <c r="N10" s="12">
        <f t="shared" si="0"/>
        <v>5850</v>
      </c>
      <c r="O10" s="1">
        <v>4.0999999999999996</v>
      </c>
      <c r="P10" s="12">
        <f t="shared" si="1"/>
        <v>3689.9999999999995</v>
      </c>
      <c r="Q10" s="9" t="s">
        <v>12</v>
      </c>
      <c r="R10" s="14">
        <f t="shared" si="2"/>
        <v>2160.0000000000005</v>
      </c>
      <c r="S10" s="15">
        <f t="shared" si="3"/>
        <v>0.36923076923076931</v>
      </c>
      <c r="T10" s="9" t="str">
        <f t="shared" si="4"/>
        <v>Alta</v>
      </c>
    </row>
    <row r="11" spans="2:20" x14ac:dyDescent="0.25">
      <c r="B11" s="1" t="s">
        <v>33</v>
      </c>
      <c r="C11" s="8">
        <v>46099</v>
      </c>
      <c r="D11" s="1" t="s">
        <v>9</v>
      </c>
      <c r="E11" s="6" t="s">
        <v>20</v>
      </c>
      <c r="F11" s="6" t="str">
        <f>VLOOKUP(E11,'2. Productos'!$C$4:F15,2,0)</f>
        <v>Maní procesado</v>
      </c>
      <c r="G11" s="6" t="str">
        <f>VLOOKUP(E11,'2. Productos'!$C$4:F15,3,0)</f>
        <v>Semillas</v>
      </c>
      <c r="H11" s="6" t="str">
        <f>VLOOKUP(J11,'3. Mercados'!$C$4:$F$9,2,0)</f>
        <v>Centroamérica</v>
      </c>
      <c r="I11" s="11">
        <f>VLOOKUP(J11,'3. Mercados'!$C$4:$F$9,3,0)</f>
        <v>0.03</v>
      </c>
      <c r="J11" s="1" t="s">
        <v>11</v>
      </c>
      <c r="K11" s="1" t="str">
        <f>VLOOKUP(J11,'3. Mercados'!$C$4:$F$9,4,0)</f>
        <v>Estratégico</v>
      </c>
      <c r="L11" s="1">
        <v>750</v>
      </c>
      <c r="M11" s="1">
        <v>8.1999999999999993</v>
      </c>
      <c r="N11" s="12">
        <f t="shared" si="0"/>
        <v>6149.9999999999991</v>
      </c>
      <c r="O11" s="1">
        <v>5.9</v>
      </c>
      <c r="P11" s="12">
        <f t="shared" si="1"/>
        <v>4425</v>
      </c>
      <c r="Q11" s="9" t="s">
        <v>17</v>
      </c>
      <c r="R11" s="14">
        <f t="shared" si="2"/>
        <v>1724.9999999999991</v>
      </c>
      <c r="S11" s="15">
        <f t="shared" si="3"/>
        <v>0.2804878048780487</v>
      </c>
      <c r="T11" s="9" t="str">
        <f t="shared" si="4"/>
        <v>Mediana</v>
      </c>
    </row>
    <row r="12" spans="2:20" x14ac:dyDescent="0.25">
      <c r="B12" s="1" t="s">
        <v>59</v>
      </c>
      <c r="C12" s="8">
        <v>46106</v>
      </c>
      <c r="D12" s="1" t="s">
        <v>23</v>
      </c>
      <c r="E12" s="6" t="s">
        <v>29</v>
      </c>
      <c r="F12" s="6" t="str">
        <f>VLOOKUP(E12,'2. Productos'!$C$4:F16,2,0)</f>
        <v>Aceite de ajonjolí</v>
      </c>
      <c r="G12" s="6" t="str">
        <f>VLOOKUP(E12,'2. Productos'!$C$4:F16,3,0)</f>
        <v>Aceites</v>
      </c>
      <c r="H12" s="6" t="str">
        <f>VLOOKUP(J12,'3. Mercados'!$C$4:$F$9,2,0)</f>
        <v>Europa</v>
      </c>
      <c r="I12" s="11">
        <f>VLOOKUP(J12,'3. Mercados'!$C$4:$F$9,3,0)</f>
        <v>0.1</v>
      </c>
      <c r="J12" s="1" t="s">
        <v>25</v>
      </c>
      <c r="K12" s="1" t="str">
        <f>VLOOKUP(J12,'3. Mercados'!$C$4:$F$9,4,0)</f>
        <v>Potencial</v>
      </c>
      <c r="L12" s="1">
        <v>600</v>
      </c>
      <c r="M12" s="1">
        <v>12.5</v>
      </c>
      <c r="N12" s="12">
        <f t="shared" si="0"/>
        <v>7500</v>
      </c>
      <c r="O12" s="1">
        <v>8.6999999999999993</v>
      </c>
      <c r="P12" s="12">
        <f t="shared" si="1"/>
        <v>5220</v>
      </c>
      <c r="Q12" s="9" t="s">
        <v>12</v>
      </c>
      <c r="R12" s="14">
        <f t="shared" si="2"/>
        <v>2280</v>
      </c>
      <c r="S12" s="15">
        <f t="shared" si="3"/>
        <v>0.30399999999999999</v>
      </c>
      <c r="T12" s="9" t="str">
        <f t="shared" si="4"/>
        <v>Alta</v>
      </c>
    </row>
    <row r="13" spans="2:20" x14ac:dyDescent="0.25">
      <c r="B13" s="1" t="s">
        <v>60</v>
      </c>
      <c r="C13" s="8">
        <v>46114</v>
      </c>
      <c r="D13" s="1" t="s">
        <v>28</v>
      </c>
      <c r="E13" s="6" t="s">
        <v>24</v>
      </c>
      <c r="F13" s="6" t="str">
        <f>VLOOKUP(E13,'2. Productos'!$C$4:F17,2,0)</f>
        <v>Cacao en grano</v>
      </c>
      <c r="G13" s="6" t="str">
        <f>VLOOKUP(E13,'2. Productos'!$C$4:F17,3,0)</f>
        <v>Cacao</v>
      </c>
      <c r="H13" s="6" t="str">
        <f>VLOOKUP(J13,'3. Mercados'!$C$4:$F$9,2,0)</f>
        <v>Norteamérica</v>
      </c>
      <c r="I13" s="11">
        <f>VLOOKUP(J13,'3. Mercados'!$C$4:$F$9,3,0)</f>
        <v>0.08</v>
      </c>
      <c r="J13" s="1" t="s">
        <v>30</v>
      </c>
      <c r="K13" s="1" t="str">
        <f>VLOOKUP(J13,'3. Mercados'!$C$4:$F$9,4,0)</f>
        <v>Potencial</v>
      </c>
      <c r="L13" s="1">
        <v>1100</v>
      </c>
      <c r="M13" s="1">
        <v>7.1</v>
      </c>
      <c r="N13" s="12">
        <f t="shared" si="0"/>
        <v>7810</v>
      </c>
      <c r="O13" s="1">
        <v>4.8</v>
      </c>
      <c r="P13" s="12">
        <f t="shared" si="1"/>
        <v>5280</v>
      </c>
      <c r="Q13" s="9" t="s">
        <v>17</v>
      </c>
      <c r="R13" s="14">
        <f t="shared" si="2"/>
        <v>2530</v>
      </c>
      <c r="S13" s="15">
        <f t="shared" si="3"/>
        <v>0.323943661971831</v>
      </c>
      <c r="T13" s="9" t="str">
        <f t="shared" si="4"/>
        <v>Alta</v>
      </c>
    </row>
    <row r="14" spans="2:20" x14ac:dyDescent="0.25">
      <c r="B14" s="1" t="s">
        <v>61</v>
      </c>
      <c r="C14" s="8">
        <v>46122</v>
      </c>
      <c r="D14" s="1" t="s">
        <v>14</v>
      </c>
      <c r="E14" s="6" t="s">
        <v>20</v>
      </c>
      <c r="F14" s="6" t="str">
        <f>VLOOKUP(E14,'2. Productos'!$C$4:F18,2,0)</f>
        <v>Maní procesado</v>
      </c>
      <c r="G14" s="6" t="str">
        <f>VLOOKUP(E14,'2. Productos'!$C$4:F18,3,0)</f>
        <v>Semillas</v>
      </c>
      <c r="H14" s="6" t="str">
        <f>VLOOKUP(J14,'3. Mercados'!$C$4:$F$9,2,0)</f>
        <v>Norteamérica</v>
      </c>
      <c r="I14" s="11">
        <f>VLOOKUP(J14,'3. Mercados'!$C$4:$F$9,3,0)</f>
        <v>0.05</v>
      </c>
      <c r="J14" s="1" t="s">
        <v>16</v>
      </c>
      <c r="K14" s="1" t="str">
        <f>VLOOKUP(J14,'3. Mercados'!$C$4:$F$9,4,0)</f>
        <v>Estratégico</v>
      </c>
      <c r="L14" s="1">
        <v>1300</v>
      </c>
      <c r="M14" s="1">
        <v>8.1999999999999993</v>
      </c>
      <c r="N14" s="12">
        <f t="shared" si="0"/>
        <v>10659.999999999998</v>
      </c>
      <c r="O14" s="1">
        <v>5.9</v>
      </c>
      <c r="P14" s="12">
        <f t="shared" si="1"/>
        <v>7670.0000000000009</v>
      </c>
      <c r="Q14" s="9" t="s">
        <v>17</v>
      </c>
      <c r="R14" s="14">
        <f t="shared" si="2"/>
        <v>2989.9999999999973</v>
      </c>
      <c r="S14" s="15">
        <f t="shared" si="3"/>
        <v>0.28048780487804859</v>
      </c>
      <c r="T14" s="9" t="str">
        <f t="shared" si="4"/>
        <v>Mediana</v>
      </c>
    </row>
    <row r="15" spans="2:20" x14ac:dyDescent="0.25">
      <c r="B15" s="1" t="s">
        <v>62</v>
      </c>
      <c r="C15" s="8">
        <v>46130</v>
      </c>
      <c r="D15" s="1" t="s">
        <v>9</v>
      </c>
      <c r="E15" s="6" t="s">
        <v>15</v>
      </c>
      <c r="F15" s="6" t="str">
        <f>VLOOKUP(E15,'2. Productos'!$C$4:F19,2,0)</f>
        <v>Café especial</v>
      </c>
      <c r="G15" s="6" t="str">
        <f>VLOOKUP(E15,'2. Productos'!$C$4:F19,3,0)</f>
        <v>Café</v>
      </c>
      <c r="H15" s="6" t="str">
        <f>VLOOKUP(J15,'3. Mercados'!$C$4:$F$9,2,0)</f>
        <v>Centroamérica</v>
      </c>
      <c r="I15" s="11">
        <f>VLOOKUP(J15,'3. Mercados'!$C$4:$F$9,3,0)</f>
        <v>0.03</v>
      </c>
      <c r="J15" s="1" t="s">
        <v>11</v>
      </c>
      <c r="K15" s="1" t="str">
        <f>VLOOKUP(J15,'3. Mercados'!$C$4:$F$9,4,0)</f>
        <v>Estratégico</v>
      </c>
      <c r="L15" s="1">
        <v>700</v>
      </c>
      <c r="M15" s="1">
        <v>6.5</v>
      </c>
      <c r="N15" s="12">
        <f t="shared" si="0"/>
        <v>4550</v>
      </c>
      <c r="O15" s="1">
        <v>4.0999999999999996</v>
      </c>
      <c r="P15" s="12">
        <f t="shared" si="1"/>
        <v>2869.9999999999995</v>
      </c>
      <c r="Q15" s="9" t="s">
        <v>26</v>
      </c>
      <c r="R15" s="14">
        <f t="shared" si="2"/>
        <v>1680.0000000000005</v>
      </c>
      <c r="S15" s="15">
        <f t="shared" si="3"/>
        <v>0.36923076923076931</v>
      </c>
      <c r="T15" s="9" t="str">
        <f t="shared" si="4"/>
        <v>Alta</v>
      </c>
    </row>
    <row r="16" spans="2:20" x14ac:dyDescent="0.25">
      <c r="B16" s="1" t="s">
        <v>63</v>
      </c>
      <c r="C16" s="8">
        <v>46139</v>
      </c>
      <c r="D16" s="1" t="s">
        <v>19</v>
      </c>
      <c r="E16" s="6" t="s">
        <v>29</v>
      </c>
      <c r="F16" s="6" t="str">
        <f>VLOOKUP(E16,'2. Productos'!$C$4:F20,2,0)</f>
        <v>Aceite de ajonjolí</v>
      </c>
      <c r="G16" s="6" t="str">
        <f>VLOOKUP(E16,'2. Productos'!$C$4:F20,3,0)</f>
        <v>Aceites</v>
      </c>
      <c r="H16" s="6" t="str">
        <f>VLOOKUP(J16,'3. Mercados'!$C$4:$F$9,2,0)</f>
        <v>Centroamérica</v>
      </c>
      <c r="I16" s="11">
        <f>VLOOKUP(J16,'3. Mercados'!$C$4:$F$9,3,0)</f>
        <v>0.02</v>
      </c>
      <c r="J16" s="1" t="s">
        <v>21</v>
      </c>
      <c r="K16" s="1" t="str">
        <f>VLOOKUP(J16,'3. Mercados'!$C$4:$F$9,4,0)</f>
        <v>Estratégico</v>
      </c>
      <c r="L16" s="1">
        <v>450</v>
      </c>
      <c r="M16" s="1">
        <v>12.5</v>
      </c>
      <c r="N16" s="12">
        <f t="shared" si="0"/>
        <v>5625</v>
      </c>
      <c r="O16" s="1">
        <v>8.6999999999999993</v>
      </c>
      <c r="P16" s="12">
        <f t="shared" si="1"/>
        <v>3914.9999999999995</v>
      </c>
      <c r="Q16" s="9" t="s">
        <v>12</v>
      </c>
      <c r="R16" s="14">
        <f t="shared" si="2"/>
        <v>1710.0000000000005</v>
      </c>
      <c r="S16" s="15">
        <f t="shared" si="3"/>
        <v>0.3040000000000001</v>
      </c>
      <c r="T16" s="9" t="str">
        <f t="shared" si="4"/>
        <v>Alta</v>
      </c>
    </row>
    <row r="17" spans="2:20" x14ac:dyDescent="0.25">
      <c r="B17" s="1" t="s">
        <v>64</v>
      </c>
      <c r="C17" s="8">
        <v>46147</v>
      </c>
      <c r="D17" s="1" t="s">
        <v>23</v>
      </c>
      <c r="E17" s="6" t="s">
        <v>10</v>
      </c>
      <c r="F17" s="6" t="str">
        <f>VLOOKUP(E17,'2. Productos'!$C$4:F21,2,0)</f>
        <v>Miel natural</v>
      </c>
      <c r="G17" s="6" t="str">
        <f>VLOOKUP(E17,'2. Productos'!$C$4:F21,3,0)</f>
        <v>Apícola</v>
      </c>
      <c r="H17" s="6" t="str">
        <f>VLOOKUP(J17,'3. Mercados'!$C$4:$F$9,2,0)</f>
        <v>Europa</v>
      </c>
      <c r="I17" s="11">
        <f>VLOOKUP(J17,'3. Mercados'!$C$4:$F$9,3,0)</f>
        <v>0.1</v>
      </c>
      <c r="J17" s="1" t="s">
        <v>25</v>
      </c>
      <c r="K17" s="1" t="str">
        <f>VLOOKUP(J17,'3. Mercados'!$C$4:$F$9,4,0)</f>
        <v>Potencial</v>
      </c>
      <c r="L17" s="1">
        <v>1000</v>
      </c>
      <c r="M17" s="1">
        <v>4.8</v>
      </c>
      <c r="N17" s="12">
        <f t="shared" si="0"/>
        <v>4800</v>
      </c>
      <c r="O17" s="1">
        <v>3.2</v>
      </c>
      <c r="P17" s="12">
        <f t="shared" si="1"/>
        <v>3200</v>
      </c>
      <c r="Q17" s="9" t="s">
        <v>17</v>
      </c>
      <c r="R17" s="14">
        <f t="shared" si="2"/>
        <v>1600</v>
      </c>
      <c r="S17" s="15">
        <f t="shared" si="3"/>
        <v>0.33333333333333331</v>
      </c>
      <c r="T17" s="9" t="str">
        <f t="shared" si="4"/>
        <v>Alta</v>
      </c>
    </row>
    <row r="18" spans="2:20" x14ac:dyDescent="0.25">
      <c r="B18" s="1" t="s">
        <v>65</v>
      </c>
      <c r="C18" s="8">
        <v>46156</v>
      </c>
      <c r="D18" s="1" t="s">
        <v>28</v>
      </c>
      <c r="E18" s="6" t="s">
        <v>15</v>
      </c>
      <c r="F18" s="6" t="str">
        <f>VLOOKUP(E18,'2. Productos'!$C$4:F22,2,0)</f>
        <v>Café especial</v>
      </c>
      <c r="G18" s="6" t="str">
        <f>VLOOKUP(E18,'2. Productos'!$C$4:F22,3,0)</f>
        <v>Café</v>
      </c>
      <c r="H18" s="6" t="str">
        <f>VLOOKUP(J18,'3. Mercados'!$C$4:$F$9,2,0)</f>
        <v>Norteamérica</v>
      </c>
      <c r="I18" s="11">
        <f>VLOOKUP(J18,'3. Mercados'!$C$4:$F$9,3,0)</f>
        <v>0.08</v>
      </c>
      <c r="J18" s="1" t="s">
        <v>30</v>
      </c>
      <c r="K18" s="1" t="str">
        <f>VLOOKUP(J18,'3. Mercados'!$C$4:$F$9,4,0)</f>
        <v>Potencial</v>
      </c>
      <c r="L18" s="1">
        <v>850</v>
      </c>
      <c r="M18" s="1">
        <v>6.5</v>
      </c>
      <c r="N18" s="12">
        <f t="shared" si="0"/>
        <v>5525</v>
      </c>
      <c r="O18" s="1">
        <v>4.0999999999999996</v>
      </c>
      <c r="P18" s="12">
        <f t="shared" si="1"/>
        <v>3484.9999999999995</v>
      </c>
      <c r="Q18" s="9" t="s">
        <v>12</v>
      </c>
      <c r="R18" s="14">
        <f t="shared" si="2"/>
        <v>2040.0000000000005</v>
      </c>
      <c r="S18" s="15">
        <f t="shared" si="3"/>
        <v>0.36923076923076931</v>
      </c>
      <c r="T18" s="9" t="str">
        <f t="shared" si="4"/>
        <v>Alta</v>
      </c>
    </row>
    <row r="19" spans="2:20" x14ac:dyDescent="0.25">
      <c r="B19" s="1" t="s">
        <v>66</v>
      </c>
      <c r="C19" s="8">
        <v>46164</v>
      </c>
      <c r="D19" s="1" t="s">
        <v>14</v>
      </c>
      <c r="E19" s="6" t="s">
        <v>24</v>
      </c>
      <c r="F19" s="6" t="str">
        <f>VLOOKUP(E19,'2. Productos'!$C$4:F23,2,0)</f>
        <v>Cacao en grano</v>
      </c>
      <c r="G19" s="6" t="str">
        <f>VLOOKUP(E19,'2. Productos'!$C$4:F23,3,0)</f>
        <v>Cacao</v>
      </c>
      <c r="H19" s="6" t="str">
        <f>VLOOKUP(J19,'3. Mercados'!$C$4:$F$9,2,0)</f>
        <v>Norteamérica</v>
      </c>
      <c r="I19" s="11">
        <f>VLOOKUP(J19,'3. Mercados'!$C$4:$F$9,3,0)</f>
        <v>0.05</v>
      </c>
      <c r="J19" s="1" t="s">
        <v>16</v>
      </c>
      <c r="K19" s="1" t="str">
        <f>VLOOKUP(J19,'3. Mercados'!$C$4:$F$9,4,0)</f>
        <v>Estratégico</v>
      </c>
      <c r="L19" s="1">
        <v>1250</v>
      </c>
      <c r="M19" s="1">
        <v>7.1</v>
      </c>
      <c r="N19" s="12">
        <f t="shared" si="0"/>
        <v>8875</v>
      </c>
      <c r="O19" s="1">
        <v>4.8</v>
      </c>
      <c r="P19" s="12">
        <f t="shared" si="1"/>
        <v>6000</v>
      </c>
      <c r="Q19" s="9" t="s">
        <v>17</v>
      </c>
      <c r="R19" s="14">
        <f t="shared" si="2"/>
        <v>2875</v>
      </c>
      <c r="S19" s="15">
        <f t="shared" si="3"/>
        <v>0.323943661971831</v>
      </c>
      <c r="T19" s="9" t="str">
        <f t="shared" si="4"/>
        <v>Alta</v>
      </c>
    </row>
    <row r="20" spans="2:20" x14ac:dyDescent="0.25">
      <c r="B20" s="1" t="s">
        <v>67</v>
      </c>
      <c r="C20" s="8">
        <v>46172</v>
      </c>
      <c r="D20" s="1" t="s">
        <v>9</v>
      </c>
      <c r="E20" s="6" t="s">
        <v>29</v>
      </c>
      <c r="F20" s="6" t="str">
        <f>VLOOKUP(E20,'2. Productos'!$C$4:F24,2,0)</f>
        <v>Aceite de ajonjolí</v>
      </c>
      <c r="G20" s="6" t="str">
        <f>VLOOKUP(E20,'2. Productos'!$C$4:F24,3,0)</f>
        <v>Aceites</v>
      </c>
      <c r="H20" s="6" t="str">
        <f>VLOOKUP(J20,'3. Mercados'!$C$4:$F$9,2,0)</f>
        <v>Centroamérica</v>
      </c>
      <c r="I20" s="11">
        <f>VLOOKUP(J20,'3. Mercados'!$C$4:$F$9,3,0)</f>
        <v>0.03</v>
      </c>
      <c r="J20" s="1" t="s">
        <v>11</v>
      </c>
      <c r="K20" s="1" t="str">
        <f>VLOOKUP(J20,'3. Mercados'!$C$4:$F$9,4,0)</f>
        <v>Estratégico</v>
      </c>
      <c r="L20" s="1">
        <v>550</v>
      </c>
      <c r="M20" s="1">
        <v>12.5</v>
      </c>
      <c r="N20" s="12">
        <f t="shared" si="0"/>
        <v>6875</v>
      </c>
      <c r="O20" s="1">
        <v>8.6999999999999993</v>
      </c>
      <c r="P20" s="12">
        <f t="shared" si="1"/>
        <v>4785</v>
      </c>
      <c r="Q20" s="9" t="s">
        <v>12</v>
      </c>
      <c r="R20" s="14">
        <f t="shared" si="2"/>
        <v>2090</v>
      </c>
      <c r="S20" s="15">
        <f t="shared" si="3"/>
        <v>0.30399999999999999</v>
      </c>
      <c r="T20" s="9" t="str">
        <f t="shared" si="4"/>
        <v>Alta</v>
      </c>
    </row>
    <row r="21" spans="2:20" x14ac:dyDescent="0.25">
      <c r="B21" s="1" t="s">
        <v>68</v>
      </c>
      <c r="C21" s="8">
        <v>46180</v>
      </c>
      <c r="D21" s="1" t="s">
        <v>19</v>
      </c>
      <c r="E21" s="6" t="s">
        <v>10</v>
      </c>
      <c r="F21" s="6" t="str">
        <f>VLOOKUP(E21,'2. Productos'!$C$4:F25,2,0)</f>
        <v>Miel natural</v>
      </c>
      <c r="G21" s="6" t="str">
        <f>VLOOKUP(E21,'2. Productos'!$C$4:F25,3,0)</f>
        <v>Apícola</v>
      </c>
      <c r="H21" s="6" t="str">
        <f>VLOOKUP(J21,'3. Mercados'!$C$4:$F$9,2,0)</f>
        <v>Centroamérica</v>
      </c>
      <c r="I21" s="11">
        <f>VLOOKUP(J21,'3. Mercados'!$C$4:$F$9,3,0)</f>
        <v>0.02</v>
      </c>
      <c r="J21" s="1" t="s">
        <v>21</v>
      </c>
      <c r="K21" s="1" t="str">
        <f>VLOOKUP(J21,'3. Mercados'!$C$4:$F$9,4,0)</f>
        <v>Estratégico</v>
      </c>
      <c r="L21" s="1">
        <v>800</v>
      </c>
      <c r="M21" s="1">
        <v>4.8</v>
      </c>
      <c r="N21" s="12">
        <f t="shared" si="0"/>
        <v>3840</v>
      </c>
      <c r="O21" s="1">
        <v>3.2</v>
      </c>
      <c r="P21" s="12">
        <f t="shared" si="1"/>
        <v>2560</v>
      </c>
      <c r="Q21" s="9" t="s">
        <v>17</v>
      </c>
      <c r="R21" s="14">
        <f t="shared" si="2"/>
        <v>1280</v>
      </c>
      <c r="S21" s="15">
        <f t="shared" si="3"/>
        <v>0.33333333333333331</v>
      </c>
      <c r="T21" s="9" t="str">
        <f t="shared" si="4"/>
        <v>Alta</v>
      </c>
    </row>
    <row r="22" spans="2:20" x14ac:dyDescent="0.25">
      <c r="B22" s="1" t="s">
        <v>69</v>
      </c>
      <c r="C22" s="8">
        <v>46189</v>
      </c>
      <c r="D22" s="1" t="s">
        <v>23</v>
      </c>
      <c r="E22" s="6" t="s">
        <v>20</v>
      </c>
      <c r="F22" s="6" t="str">
        <f>VLOOKUP(E22,'2. Productos'!$C$4:F26,2,0)</f>
        <v>Maní procesado</v>
      </c>
      <c r="G22" s="6" t="str">
        <f>VLOOKUP(E22,'2. Productos'!$C$4:F26,3,0)</f>
        <v>Semillas</v>
      </c>
      <c r="H22" s="6" t="str">
        <f>VLOOKUP(J22,'3. Mercados'!$C$4:$F$9,2,0)</f>
        <v>Europa</v>
      </c>
      <c r="I22" s="11">
        <f>VLOOKUP(J22,'3. Mercados'!$C$4:$F$9,3,0)</f>
        <v>0.1</v>
      </c>
      <c r="J22" s="1" t="s">
        <v>25</v>
      </c>
      <c r="K22" s="1" t="str">
        <f>VLOOKUP(J22,'3. Mercados'!$C$4:$F$9,4,0)</f>
        <v>Potencial</v>
      </c>
      <c r="L22" s="1">
        <v>900</v>
      </c>
      <c r="M22" s="1">
        <v>8.1999999999999993</v>
      </c>
      <c r="N22" s="12">
        <f t="shared" si="0"/>
        <v>7379.9999999999991</v>
      </c>
      <c r="O22" s="1">
        <v>5.9</v>
      </c>
      <c r="P22" s="12">
        <f t="shared" si="1"/>
        <v>5310</v>
      </c>
      <c r="Q22" s="9" t="s">
        <v>26</v>
      </c>
      <c r="R22" s="14">
        <f t="shared" si="2"/>
        <v>2069.9999999999991</v>
      </c>
      <c r="S22" s="15">
        <f t="shared" si="3"/>
        <v>0.2804878048780487</v>
      </c>
      <c r="T22" s="9" t="str">
        <f t="shared" si="4"/>
        <v>Mediana</v>
      </c>
    </row>
    <row r="23" spans="2:20" x14ac:dyDescent="0.25">
      <c r="B23" s="1" t="s">
        <v>70</v>
      </c>
      <c r="C23" s="8">
        <v>46198</v>
      </c>
      <c r="D23" s="1" t="s">
        <v>28</v>
      </c>
      <c r="E23" s="6" t="s">
        <v>29</v>
      </c>
      <c r="F23" s="6" t="str">
        <f>VLOOKUP(E23,'2. Productos'!$C$4:F27,2,0)</f>
        <v>Aceite de ajonjolí</v>
      </c>
      <c r="G23" s="6" t="str">
        <f>VLOOKUP(E23,'2. Productos'!$C$4:F27,3,0)</f>
        <v>Aceites</v>
      </c>
      <c r="H23" s="6" t="str">
        <f>VLOOKUP(J23,'3. Mercados'!$C$4:$F$9,2,0)</f>
        <v>Norteamérica</v>
      </c>
      <c r="I23" s="11">
        <f>VLOOKUP(J23,'3. Mercados'!$C$4:$F$9,3,0)</f>
        <v>0.08</v>
      </c>
      <c r="J23" s="1" t="s">
        <v>30</v>
      </c>
      <c r="K23" s="1" t="str">
        <f>VLOOKUP(J23,'3. Mercados'!$C$4:$F$9,4,0)</f>
        <v>Potencial</v>
      </c>
      <c r="L23" s="1">
        <v>650</v>
      </c>
      <c r="M23" s="1">
        <v>12.5</v>
      </c>
      <c r="N23" s="12">
        <f t="shared" si="0"/>
        <v>8125</v>
      </c>
      <c r="O23" s="1">
        <v>8.6999999999999993</v>
      </c>
      <c r="P23" s="12">
        <f t="shared" si="1"/>
        <v>5654.9999999999991</v>
      </c>
      <c r="Q23" s="9" t="s">
        <v>17</v>
      </c>
      <c r="R23" s="14">
        <f t="shared" si="2"/>
        <v>2470.0000000000009</v>
      </c>
      <c r="S23" s="15">
        <f t="shared" si="3"/>
        <v>0.3040000000000001</v>
      </c>
      <c r="T23" s="9" t="str">
        <f t="shared" si="4"/>
        <v>Alta</v>
      </c>
    </row>
    <row r="24" spans="2:20" x14ac:dyDescent="0.25">
      <c r="B24" s="1" t="s">
        <v>71</v>
      </c>
      <c r="C24" s="8">
        <v>46206</v>
      </c>
      <c r="D24" s="1" t="s">
        <v>14</v>
      </c>
      <c r="E24" s="6" t="s">
        <v>15</v>
      </c>
      <c r="F24" s="6" t="str">
        <f>VLOOKUP(E24,'2. Productos'!$C$4:F28,2,0)</f>
        <v>Café especial</v>
      </c>
      <c r="G24" s="6" t="str">
        <f>VLOOKUP(E24,'2. Productos'!$C$4:F28,3,0)</f>
        <v>Café</v>
      </c>
      <c r="H24" s="6" t="str">
        <f>VLOOKUP(J24,'3. Mercados'!$C$4:$F$9,2,0)</f>
        <v>Norteamérica</v>
      </c>
      <c r="I24" s="11">
        <f>VLOOKUP(J24,'3. Mercados'!$C$4:$F$9,3,0)</f>
        <v>0.05</v>
      </c>
      <c r="J24" s="1" t="s">
        <v>16</v>
      </c>
      <c r="K24" s="1" t="str">
        <f>VLOOKUP(J24,'3. Mercados'!$C$4:$F$9,4,0)</f>
        <v>Estratégico</v>
      </c>
      <c r="L24" s="1">
        <v>1500</v>
      </c>
      <c r="M24" s="1">
        <v>6.5</v>
      </c>
      <c r="N24" s="12">
        <f t="shared" si="0"/>
        <v>9750</v>
      </c>
      <c r="O24" s="1">
        <v>4.0999999999999996</v>
      </c>
      <c r="P24" s="12">
        <f t="shared" si="1"/>
        <v>6149.9999999999991</v>
      </c>
      <c r="Q24" s="9" t="s">
        <v>12</v>
      </c>
      <c r="R24" s="14">
        <f t="shared" si="2"/>
        <v>3600.0000000000009</v>
      </c>
      <c r="S24" s="15">
        <f t="shared" si="3"/>
        <v>0.36923076923076931</v>
      </c>
      <c r="T24" s="9" t="str">
        <f t="shared" si="4"/>
        <v>Alta</v>
      </c>
    </row>
    <row r="25" spans="2:20" x14ac:dyDescent="0.25">
      <c r="B25" s="1" t="s">
        <v>72</v>
      </c>
      <c r="C25" s="8">
        <v>46214</v>
      </c>
      <c r="D25" s="1" t="s">
        <v>9</v>
      </c>
      <c r="E25" s="6" t="s">
        <v>24</v>
      </c>
      <c r="F25" s="6" t="str">
        <f>VLOOKUP(E25,'2. Productos'!$C$4:F29,2,0)</f>
        <v>Cacao en grano</v>
      </c>
      <c r="G25" s="6" t="str">
        <f>VLOOKUP(E25,'2. Productos'!$C$4:F29,3,0)</f>
        <v>Cacao</v>
      </c>
      <c r="H25" s="6" t="str">
        <f>VLOOKUP(J25,'3. Mercados'!$C$4:$F$9,2,0)</f>
        <v>Centroamérica</v>
      </c>
      <c r="I25" s="11">
        <f>VLOOKUP(J25,'3. Mercados'!$C$4:$F$9,3,0)</f>
        <v>0.03</v>
      </c>
      <c r="J25" s="1" t="s">
        <v>11</v>
      </c>
      <c r="K25" s="1" t="str">
        <f>VLOOKUP(J25,'3. Mercados'!$C$4:$F$9,4,0)</f>
        <v>Estratégico</v>
      </c>
      <c r="L25" s="1">
        <v>1000</v>
      </c>
      <c r="M25" s="1">
        <v>7.1</v>
      </c>
      <c r="N25" s="12">
        <f t="shared" si="0"/>
        <v>7100</v>
      </c>
      <c r="O25" s="1">
        <v>4.8</v>
      </c>
      <c r="P25" s="12">
        <f t="shared" si="1"/>
        <v>4800</v>
      </c>
      <c r="Q25" s="9" t="s">
        <v>17</v>
      </c>
      <c r="R25" s="14">
        <f t="shared" si="2"/>
        <v>2300</v>
      </c>
      <c r="S25" s="15">
        <f t="shared" si="3"/>
        <v>0.323943661971831</v>
      </c>
      <c r="T25" s="9" t="str">
        <f t="shared" si="4"/>
        <v>Alta</v>
      </c>
    </row>
    <row r="26" spans="2:20" x14ac:dyDescent="0.25">
      <c r="B26" s="1" t="s">
        <v>73</v>
      </c>
      <c r="C26" s="8">
        <v>46222</v>
      </c>
      <c r="D26" s="1" t="s">
        <v>19</v>
      </c>
      <c r="E26" s="6" t="s">
        <v>20</v>
      </c>
      <c r="F26" s="6" t="str">
        <f>VLOOKUP(E26,'2. Productos'!$C$4:F30,2,0)</f>
        <v>Maní procesado</v>
      </c>
      <c r="G26" s="6" t="str">
        <f>VLOOKUP(E26,'2. Productos'!$C$4:F30,3,0)</f>
        <v>Semillas</v>
      </c>
      <c r="H26" s="6" t="str">
        <f>VLOOKUP(J26,'3. Mercados'!$C$4:$F$9,2,0)</f>
        <v>Centroamérica</v>
      </c>
      <c r="I26" s="11">
        <f>VLOOKUP(J26,'3. Mercados'!$C$4:$F$9,3,0)</f>
        <v>0.02</v>
      </c>
      <c r="J26" s="1" t="s">
        <v>21</v>
      </c>
      <c r="K26" s="1" t="str">
        <f>VLOOKUP(J26,'3. Mercados'!$C$4:$F$9,4,0)</f>
        <v>Estratégico</v>
      </c>
      <c r="L26" s="1">
        <v>720</v>
      </c>
      <c r="M26" s="1">
        <v>8.1999999999999993</v>
      </c>
      <c r="N26" s="12">
        <f t="shared" si="0"/>
        <v>5903.9999999999991</v>
      </c>
      <c r="O26" s="1">
        <v>5.9</v>
      </c>
      <c r="P26" s="12">
        <f t="shared" si="1"/>
        <v>4248</v>
      </c>
      <c r="Q26" s="9" t="s">
        <v>12</v>
      </c>
      <c r="R26" s="14">
        <f t="shared" si="2"/>
        <v>1655.9999999999991</v>
      </c>
      <c r="S26" s="15">
        <f t="shared" si="3"/>
        <v>0.2804878048780487</v>
      </c>
      <c r="T26" s="9" t="str">
        <f t="shared" si="4"/>
        <v>Mediana</v>
      </c>
    </row>
    <row r="27" spans="2:20" x14ac:dyDescent="0.25">
      <c r="B27" s="1" t="s">
        <v>74</v>
      </c>
      <c r="C27" s="8">
        <v>46231</v>
      </c>
      <c r="D27" s="1" t="s">
        <v>23</v>
      </c>
      <c r="E27" s="6" t="s">
        <v>10</v>
      </c>
      <c r="F27" s="6" t="str">
        <f>VLOOKUP(E27,'2. Productos'!$C$4:F31,2,0)</f>
        <v>Miel natural</v>
      </c>
      <c r="G27" s="6" t="str">
        <f>VLOOKUP(E27,'2. Productos'!$C$4:F31,3,0)</f>
        <v>Apícola</v>
      </c>
      <c r="H27" s="6" t="str">
        <f>VLOOKUP(J27,'3. Mercados'!$C$4:$F$9,2,0)</f>
        <v>Europa</v>
      </c>
      <c r="I27" s="11">
        <f>VLOOKUP(J27,'3. Mercados'!$C$4:$F$9,3,0)</f>
        <v>0.1</v>
      </c>
      <c r="J27" s="1" t="s">
        <v>25</v>
      </c>
      <c r="K27" s="1" t="str">
        <f>VLOOKUP(J27,'3. Mercados'!$C$4:$F$9,4,0)</f>
        <v>Potencial</v>
      </c>
      <c r="L27" s="1">
        <v>1150</v>
      </c>
      <c r="M27" s="1">
        <v>4.8</v>
      </c>
      <c r="N27" s="12">
        <f t="shared" si="0"/>
        <v>5520</v>
      </c>
      <c r="O27" s="1">
        <v>3.2</v>
      </c>
      <c r="P27" s="12">
        <f t="shared" si="1"/>
        <v>3680</v>
      </c>
      <c r="Q27" s="9" t="s">
        <v>17</v>
      </c>
      <c r="R27" s="14">
        <f t="shared" si="2"/>
        <v>1840</v>
      </c>
      <c r="S27" s="15">
        <f t="shared" si="3"/>
        <v>0.33333333333333331</v>
      </c>
      <c r="T27" s="9" t="str">
        <f t="shared" si="4"/>
        <v>Alta</v>
      </c>
    </row>
    <row r="28" spans="2:20" x14ac:dyDescent="0.25">
      <c r="B28" s="1" t="s">
        <v>75</v>
      </c>
      <c r="C28" s="8">
        <v>46239</v>
      </c>
      <c r="D28" s="1" t="s">
        <v>28</v>
      </c>
      <c r="E28" s="6" t="s">
        <v>15</v>
      </c>
      <c r="F28" s="6" t="str">
        <f>VLOOKUP(E28,'2. Productos'!$C$4:F32,2,0)</f>
        <v>Café especial</v>
      </c>
      <c r="G28" s="6" t="str">
        <f>VLOOKUP(E28,'2. Productos'!$C$4:F32,3,0)</f>
        <v>Café</v>
      </c>
      <c r="H28" s="6" t="str">
        <f>VLOOKUP(J28,'3. Mercados'!$C$4:$F$9,2,0)</f>
        <v>Norteamérica</v>
      </c>
      <c r="I28" s="11">
        <f>VLOOKUP(J28,'3. Mercados'!$C$4:$F$9,3,0)</f>
        <v>0.08</v>
      </c>
      <c r="J28" s="1" t="s">
        <v>30</v>
      </c>
      <c r="K28" s="1" t="str">
        <f>VLOOKUP(J28,'3. Mercados'!$C$4:$F$9,4,0)</f>
        <v>Potencial</v>
      </c>
      <c r="L28" s="1">
        <v>950</v>
      </c>
      <c r="M28" s="1">
        <v>6.5</v>
      </c>
      <c r="N28" s="12">
        <f t="shared" si="0"/>
        <v>6175</v>
      </c>
      <c r="O28" s="1">
        <v>4.0999999999999996</v>
      </c>
      <c r="P28" s="12">
        <f t="shared" si="1"/>
        <v>3894.9999999999995</v>
      </c>
      <c r="Q28" s="9" t="s">
        <v>26</v>
      </c>
      <c r="R28" s="14">
        <f t="shared" si="2"/>
        <v>2280.0000000000005</v>
      </c>
      <c r="S28" s="15">
        <f t="shared" si="3"/>
        <v>0.36923076923076931</v>
      </c>
      <c r="T28" s="9" t="str">
        <f t="shared" si="4"/>
        <v>Alta</v>
      </c>
    </row>
    <row r="29" spans="2:20" x14ac:dyDescent="0.25">
      <c r="B29" s="1" t="s">
        <v>76</v>
      </c>
      <c r="C29" s="8">
        <v>46247</v>
      </c>
      <c r="D29" s="1" t="s">
        <v>14</v>
      </c>
      <c r="E29" s="6" t="s">
        <v>29</v>
      </c>
      <c r="F29" s="6" t="str">
        <f>VLOOKUP(E29,'2. Productos'!$C$4:F33,2,0)</f>
        <v>Aceite de ajonjolí</v>
      </c>
      <c r="G29" s="6" t="str">
        <f>VLOOKUP(E29,'2. Productos'!$C$4:F33,3,0)</f>
        <v>Aceites</v>
      </c>
      <c r="H29" s="6" t="str">
        <f>VLOOKUP(J29,'3. Mercados'!$C$4:$F$9,2,0)</f>
        <v>Norteamérica</v>
      </c>
      <c r="I29" s="11">
        <f>VLOOKUP(J29,'3. Mercados'!$C$4:$F$9,3,0)</f>
        <v>0.05</v>
      </c>
      <c r="J29" s="1" t="s">
        <v>16</v>
      </c>
      <c r="K29" s="1" t="str">
        <f>VLOOKUP(J29,'3. Mercados'!$C$4:$F$9,4,0)</f>
        <v>Estratégico</v>
      </c>
      <c r="L29" s="1">
        <v>700</v>
      </c>
      <c r="M29" s="1">
        <v>12.5</v>
      </c>
      <c r="N29" s="12">
        <f t="shared" si="0"/>
        <v>8750</v>
      </c>
      <c r="O29" s="1">
        <v>8.6999999999999993</v>
      </c>
      <c r="P29" s="12">
        <f t="shared" si="1"/>
        <v>6089.9999999999991</v>
      </c>
      <c r="Q29" s="9" t="s">
        <v>17</v>
      </c>
      <c r="R29" s="14">
        <f t="shared" si="2"/>
        <v>2660.0000000000009</v>
      </c>
      <c r="S29" s="15">
        <f t="shared" si="3"/>
        <v>0.3040000000000001</v>
      </c>
      <c r="T29" s="9" t="str">
        <f t="shared" si="4"/>
        <v>Alta</v>
      </c>
    </row>
    <row r="30" spans="2:20" x14ac:dyDescent="0.25">
      <c r="B30" s="1" t="s">
        <v>77</v>
      </c>
      <c r="C30" s="8">
        <v>46255</v>
      </c>
      <c r="D30" s="1" t="s">
        <v>9</v>
      </c>
      <c r="E30" s="6" t="s">
        <v>10</v>
      </c>
      <c r="F30" s="6" t="str">
        <f>VLOOKUP(E30,'2. Productos'!$C$4:F34,2,0)</f>
        <v>Miel natural</v>
      </c>
      <c r="G30" s="6" t="str">
        <f>VLOOKUP(E30,'2. Productos'!$C$4:F34,3,0)</f>
        <v>Apícola</v>
      </c>
      <c r="H30" s="6" t="str">
        <f>VLOOKUP(J30,'3. Mercados'!$C$4:$F$9,2,0)</f>
        <v>Centroamérica</v>
      </c>
      <c r="I30" s="11">
        <f>VLOOKUP(J30,'3. Mercados'!$C$4:$F$9,3,0)</f>
        <v>0.03</v>
      </c>
      <c r="J30" s="1" t="s">
        <v>11</v>
      </c>
      <c r="K30" s="1" t="str">
        <f>VLOOKUP(J30,'3. Mercados'!$C$4:$F$9,4,0)</f>
        <v>Estratégico</v>
      </c>
      <c r="L30" s="1">
        <v>1050</v>
      </c>
      <c r="M30" s="1">
        <v>4.8</v>
      </c>
      <c r="N30" s="12">
        <f t="shared" si="0"/>
        <v>5040</v>
      </c>
      <c r="O30" s="1">
        <v>3.2</v>
      </c>
      <c r="P30" s="12">
        <f t="shared" si="1"/>
        <v>3360</v>
      </c>
      <c r="Q30" s="9" t="s">
        <v>12</v>
      </c>
      <c r="R30" s="14">
        <f t="shared" si="2"/>
        <v>1680</v>
      </c>
      <c r="S30" s="15">
        <f t="shared" si="3"/>
        <v>0.33333333333333331</v>
      </c>
      <c r="T30" s="9" t="str">
        <f t="shared" si="4"/>
        <v>Alta</v>
      </c>
    </row>
    <row r="31" spans="2:20" x14ac:dyDescent="0.25">
      <c r="B31" s="1" t="s">
        <v>78</v>
      </c>
      <c r="C31" s="8">
        <v>46263</v>
      </c>
      <c r="D31" s="1" t="s">
        <v>19</v>
      </c>
      <c r="E31" s="6" t="s">
        <v>24</v>
      </c>
      <c r="F31" s="6" t="str">
        <f>VLOOKUP(E31,'2. Productos'!$C$4:F35,2,0)</f>
        <v>Cacao en grano</v>
      </c>
      <c r="G31" s="6" t="str">
        <f>VLOOKUP(E31,'2. Productos'!$C$4:F35,3,0)</f>
        <v>Cacao</v>
      </c>
      <c r="H31" s="6" t="str">
        <f>VLOOKUP(J31,'3. Mercados'!$C$4:$F$9,2,0)</f>
        <v>Centroamérica</v>
      </c>
      <c r="I31" s="11">
        <f>VLOOKUP(J31,'3. Mercados'!$C$4:$F$9,3,0)</f>
        <v>0.02</v>
      </c>
      <c r="J31" s="1" t="s">
        <v>21</v>
      </c>
      <c r="K31" s="1" t="str">
        <f>VLOOKUP(J31,'3. Mercados'!$C$4:$F$9,4,0)</f>
        <v>Estratégico</v>
      </c>
      <c r="L31" s="1">
        <v>850</v>
      </c>
      <c r="M31" s="1">
        <v>7.1</v>
      </c>
      <c r="N31" s="12">
        <f t="shared" si="0"/>
        <v>6035</v>
      </c>
      <c r="O31" s="1">
        <v>4.8</v>
      </c>
      <c r="P31" s="12">
        <f t="shared" si="1"/>
        <v>4080</v>
      </c>
      <c r="Q31" s="9" t="s">
        <v>17</v>
      </c>
      <c r="R31" s="14">
        <f t="shared" si="2"/>
        <v>1955</v>
      </c>
      <c r="S31" s="15">
        <f t="shared" si="3"/>
        <v>0.323943661971831</v>
      </c>
      <c r="T31" s="9" t="str">
        <f t="shared" si="4"/>
        <v>Alta</v>
      </c>
    </row>
    <row r="32" spans="2:20" x14ac:dyDescent="0.25">
      <c r="B32" s="1" t="s">
        <v>79</v>
      </c>
      <c r="C32" s="8">
        <v>46269</v>
      </c>
      <c r="D32" s="1" t="s">
        <v>23</v>
      </c>
      <c r="E32" s="6" t="s">
        <v>15</v>
      </c>
      <c r="F32" s="6" t="str">
        <f>VLOOKUP(E32,'2. Productos'!$C$4:F36,2,0)</f>
        <v>Café especial</v>
      </c>
      <c r="G32" s="6" t="str">
        <f>VLOOKUP(E32,'2. Productos'!$C$4:F36,3,0)</f>
        <v>Café</v>
      </c>
      <c r="H32" s="6" t="str">
        <f>VLOOKUP(J32,'3. Mercados'!$C$4:$F$9,2,0)</f>
        <v>Europa</v>
      </c>
      <c r="I32" s="11">
        <f>VLOOKUP(J32,'3. Mercados'!$C$4:$F$9,3,0)</f>
        <v>0.1</v>
      </c>
      <c r="J32" s="1" t="s">
        <v>25</v>
      </c>
      <c r="K32" s="1" t="str">
        <f>VLOOKUP(J32,'3. Mercados'!$C$4:$F$9,4,0)</f>
        <v>Potencial</v>
      </c>
      <c r="L32" s="1">
        <v>1200</v>
      </c>
      <c r="M32" s="1">
        <v>6.5</v>
      </c>
      <c r="N32" s="12">
        <f t="shared" si="0"/>
        <v>7800</v>
      </c>
      <c r="O32" s="1">
        <v>4.0999999999999996</v>
      </c>
      <c r="P32" s="12">
        <f t="shared" si="1"/>
        <v>4920</v>
      </c>
      <c r="Q32" s="9" t="s">
        <v>12</v>
      </c>
      <c r="R32" s="14">
        <f t="shared" si="2"/>
        <v>2880</v>
      </c>
      <c r="S32" s="15">
        <f t="shared" si="3"/>
        <v>0.36923076923076925</v>
      </c>
      <c r="T32" s="9" t="str">
        <f t="shared" si="4"/>
        <v>Alta</v>
      </c>
    </row>
    <row r="33" spans="2:20" x14ac:dyDescent="0.25">
      <c r="B33" s="1" t="s">
        <v>80</v>
      </c>
      <c r="C33" s="8">
        <v>46277</v>
      </c>
      <c r="D33" s="1" t="s">
        <v>28</v>
      </c>
      <c r="E33" s="6" t="s">
        <v>20</v>
      </c>
      <c r="F33" s="6" t="str">
        <f>VLOOKUP(E33,'2. Productos'!$C$4:F37,2,0)</f>
        <v>Maní procesado</v>
      </c>
      <c r="G33" s="6" t="str">
        <f>VLOOKUP(E33,'2. Productos'!$C$4:F37,3,0)</f>
        <v>Semillas</v>
      </c>
      <c r="H33" s="6" t="str">
        <f>VLOOKUP(J33,'3. Mercados'!$C$4:$F$9,2,0)</f>
        <v>Norteamérica</v>
      </c>
      <c r="I33" s="11">
        <f>VLOOKUP(J33,'3. Mercados'!$C$4:$F$9,3,0)</f>
        <v>0.08</v>
      </c>
      <c r="J33" s="1" t="s">
        <v>30</v>
      </c>
      <c r="K33" s="1" t="str">
        <f>VLOOKUP(J33,'3. Mercados'!$C$4:$F$9,4,0)</f>
        <v>Potencial</v>
      </c>
      <c r="L33" s="1">
        <v>600</v>
      </c>
      <c r="M33" s="1">
        <v>8.1999999999999993</v>
      </c>
      <c r="N33" s="12">
        <f t="shared" si="0"/>
        <v>4920</v>
      </c>
      <c r="O33" s="1">
        <v>5.9</v>
      </c>
      <c r="P33" s="12">
        <f t="shared" si="1"/>
        <v>3540</v>
      </c>
      <c r="Q33" s="9" t="s">
        <v>17</v>
      </c>
      <c r="R33" s="14">
        <f t="shared" si="2"/>
        <v>1380</v>
      </c>
      <c r="S33" s="15">
        <f t="shared" si="3"/>
        <v>0.28048780487804881</v>
      </c>
      <c r="T33" s="9" t="str">
        <f t="shared" si="4"/>
        <v>Mediana</v>
      </c>
    </row>
    <row r="34" spans="2:20" x14ac:dyDescent="0.25">
      <c r="B34" s="1" t="s">
        <v>81</v>
      </c>
      <c r="C34" s="8">
        <v>46285</v>
      </c>
      <c r="D34" s="1" t="s">
        <v>14</v>
      </c>
      <c r="E34" s="6" t="s">
        <v>10</v>
      </c>
      <c r="F34" s="6" t="str">
        <f>VLOOKUP(E34,'2. Productos'!$C$4:F38,2,0)</f>
        <v>Miel natural</v>
      </c>
      <c r="G34" s="6" t="str">
        <f>VLOOKUP(E34,'2. Productos'!$C$4:F38,3,0)</f>
        <v>Apícola</v>
      </c>
      <c r="H34" s="6" t="str">
        <f>VLOOKUP(J34,'3. Mercados'!$C$4:$F$9,2,0)</f>
        <v>Norteamérica</v>
      </c>
      <c r="I34" s="11">
        <f>VLOOKUP(J34,'3. Mercados'!$C$4:$F$9,3,0)</f>
        <v>0.05</v>
      </c>
      <c r="J34" s="1" t="s">
        <v>16</v>
      </c>
      <c r="K34" s="1" t="str">
        <f>VLOOKUP(J34,'3. Mercados'!$C$4:$F$9,4,0)</f>
        <v>Estratégico</v>
      </c>
      <c r="L34" s="1">
        <v>1350</v>
      </c>
      <c r="M34" s="1">
        <v>4.8</v>
      </c>
      <c r="N34" s="12">
        <f t="shared" si="0"/>
        <v>6480</v>
      </c>
      <c r="O34" s="1">
        <v>3.2</v>
      </c>
      <c r="P34" s="12">
        <f t="shared" si="1"/>
        <v>4320</v>
      </c>
      <c r="Q34" s="9" t="s">
        <v>17</v>
      </c>
      <c r="R34" s="14">
        <f t="shared" si="2"/>
        <v>2160</v>
      </c>
      <c r="S34" s="15">
        <f t="shared" si="3"/>
        <v>0.33333333333333331</v>
      </c>
      <c r="T34" s="9" t="str">
        <f t="shared" si="4"/>
        <v>Alta</v>
      </c>
    </row>
    <row r="35" spans="2:20" x14ac:dyDescent="0.25">
      <c r="B35" s="1" t="s">
        <v>82</v>
      </c>
      <c r="C35" s="8">
        <v>46293</v>
      </c>
      <c r="D35" s="1" t="s">
        <v>9</v>
      </c>
      <c r="E35" s="6" t="s">
        <v>29</v>
      </c>
      <c r="F35" s="6" t="str">
        <f>VLOOKUP(E35,'2. Productos'!$C$4:F39,2,0)</f>
        <v>Aceite de ajonjolí</v>
      </c>
      <c r="G35" s="6" t="str">
        <f>VLOOKUP(E35,'2. Productos'!$C$4:F39,3,0)</f>
        <v>Aceites</v>
      </c>
      <c r="H35" s="6" t="str">
        <f>VLOOKUP(J35,'3. Mercados'!$C$4:$F$9,2,0)</f>
        <v>Centroamérica</v>
      </c>
      <c r="I35" s="11">
        <f>VLOOKUP(J35,'3. Mercados'!$C$4:$F$9,3,0)</f>
        <v>0.03</v>
      </c>
      <c r="J35" s="1" t="s">
        <v>11</v>
      </c>
      <c r="K35" s="1" t="str">
        <f>VLOOKUP(J35,'3. Mercados'!$C$4:$F$9,4,0)</f>
        <v>Estratégico</v>
      </c>
      <c r="L35" s="1">
        <v>500</v>
      </c>
      <c r="M35" s="1">
        <v>12.5</v>
      </c>
      <c r="N35" s="12">
        <f t="shared" si="0"/>
        <v>6250</v>
      </c>
      <c r="O35" s="1">
        <v>8.6999999999999993</v>
      </c>
      <c r="P35" s="12">
        <f t="shared" si="1"/>
        <v>4350</v>
      </c>
      <c r="Q35" s="9" t="s">
        <v>26</v>
      </c>
      <c r="R35" s="14">
        <f t="shared" si="2"/>
        <v>1900</v>
      </c>
      <c r="S35" s="15">
        <f t="shared" si="3"/>
        <v>0.30399999999999999</v>
      </c>
      <c r="T35" s="9" t="str">
        <f t="shared" si="4"/>
        <v>Alta</v>
      </c>
    </row>
    <row r="36" spans="2:20" x14ac:dyDescent="0.25">
      <c r="B36" s="1" t="s">
        <v>83</v>
      </c>
      <c r="C36" s="8">
        <v>46301</v>
      </c>
      <c r="D36" s="1" t="s">
        <v>19</v>
      </c>
      <c r="E36" s="6" t="s">
        <v>15</v>
      </c>
      <c r="F36" s="6" t="str">
        <f>VLOOKUP(E36,'2. Productos'!$C$4:F40,2,0)</f>
        <v>Café especial</v>
      </c>
      <c r="G36" s="6" t="str">
        <f>VLOOKUP(E36,'2. Productos'!$C$4:F40,3,0)</f>
        <v>Café</v>
      </c>
      <c r="H36" s="6" t="str">
        <f>VLOOKUP(J36,'3. Mercados'!$C$4:$F$9,2,0)</f>
        <v>Centroamérica</v>
      </c>
      <c r="I36" s="11">
        <f>VLOOKUP(J36,'3. Mercados'!$C$4:$F$9,3,0)</f>
        <v>0.02</v>
      </c>
      <c r="J36" s="1" t="s">
        <v>21</v>
      </c>
      <c r="K36" s="1" t="str">
        <f>VLOOKUP(J36,'3. Mercados'!$C$4:$F$9,4,0)</f>
        <v>Estratégico</v>
      </c>
      <c r="L36" s="1">
        <v>950</v>
      </c>
      <c r="M36" s="1">
        <v>6.5</v>
      </c>
      <c r="N36" s="12">
        <f t="shared" si="0"/>
        <v>6175</v>
      </c>
      <c r="O36" s="1">
        <v>4.0999999999999996</v>
      </c>
      <c r="P36" s="12">
        <f t="shared" si="1"/>
        <v>3894.9999999999995</v>
      </c>
      <c r="Q36" s="9" t="s">
        <v>12</v>
      </c>
      <c r="R36" s="14">
        <f t="shared" si="2"/>
        <v>2280.0000000000005</v>
      </c>
      <c r="S36" s="15">
        <f t="shared" si="3"/>
        <v>0.36923076923076931</v>
      </c>
      <c r="T36" s="9" t="str">
        <f t="shared" si="4"/>
        <v>Alta</v>
      </c>
    </row>
    <row r="37" spans="2:20" x14ac:dyDescent="0.25">
      <c r="B37" s="1" t="s">
        <v>84</v>
      </c>
      <c r="C37" s="8">
        <v>46309</v>
      </c>
      <c r="D37" s="1" t="s">
        <v>23</v>
      </c>
      <c r="E37" s="6" t="s">
        <v>24</v>
      </c>
      <c r="F37" s="6" t="str">
        <f>VLOOKUP(E37,'2. Productos'!$C$4:F41,2,0)</f>
        <v>Cacao en grano</v>
      </c>
      <c r="G37" s="6" t="str">
        <f>VLOOKUP(E37,'2. Productos'!$C$4:F41,3,0)</f>
        <v>Cacao</v>
      </c>
      <c r="H37" s="6" t="str">
        <f>VLOOKUP(J37,'3. Mercados'!$C$4:$F$9,2,0)</f>
        <v>Europa</v>
      </c>
      <c r="I37" s="11">
        <f>VLOOKUP(J37,'3. Mercados'!$C$4:$F$9,3,0)</f>
        <v>0.1</v>
      </c>
      <c r="J37" s="1" t="s">
        <v>25</v>
      </c>
      <c r="K37" s="1" t="str">
        <f>VLOOKUP(J37,'3. Mercados'!$C$4:$F$9,4,0)</f>
        <v>Potencial</v>
      </c>
      <c r="L37" s="1">
        <v>1050</v>
      </c>
      <c r="M37" s="1">
        <v>7.1</v>
      </c>
      <c r="N37" s="12">
        <f t="shared" si="0"/>
        <v>7455</v>
      </c>
      <c r="O37" s="1">
        <v>4.8</v>
      </c>
      <c r="P37" s="12">
        <f t="shared" si="1"/>
        <v>5040</v>
      </c>
      <c r="Q37" s="9" t="s">
        <v>17</v>
      </c>
      <c r="R37" s="14">
        <f t="shared" si="2"/>
        <v>2415</v>
      </c>
      <c r="S37" s="15">
        <f t="shared" si="3"/>
        <v>0.323943661971831</v>
      </c>
      <c r="T37" s="9" t="str">
        <f t="shared" si="4"/>
        <v>Alta</v>
      </c>
    </row>
    <row r="38" spans="2:20" x14ac:dyDescent="0.25">
      <c r="B38" s="1" t="s">
        <v>85</v>
      </c>
      <c r="C38" s="8">
        <v>46317</v>
      </c>
      <c r="D38" s="1" t="s">
        <v>28</v>
      </c>
      <c r="E38" s="6" t="s">
        <v>10</v>
      </c>
      <c r="F38" s="6" t="str">
        <f>VLOOKUP(E38,'2. Productos'!$C$4:F42,2,0)</f>
        <v>Miel natural</v>
      </c>
      <c r="G38" s="6" t="str">
        <f>VLOOKUP(E38,'2. Productos'!$C$4:F42,3,0)</f>
        <v>Apícola</v>
      </c>
      <c r="H38" s="6" t="str">
        <f>VLOOKUP(J38,'3. Mercados'!$C$4:$F$9,2,0)</f>
        <v>Norteamérica</v>
      </c>
      <c r="I38" s="11">
        <f>VLOOKUP(J38,'3. Mercados'!$C$4:$F$9,3,0)</f>
        <v>0.08</v>
      </c>
      <c r="J38" s="1" t="s">
        <v>30</v>
      </c>
      <c r="K38" s="1" t="str">
        <f>VLOOKUP(J38,'3. Mercados'!$C$4:$F$9,4,0)</f>
        <v>Potencial</v>
      </c>
      <c r="L38" s="1">
        <v>750</v>
      </c>
      <c r="M38" s="1">
        <v>4.8</v>
      </c>
      <c r="N38" s="12">
        <f t="shared" si="0"/>
        <v>3600</v>
      </c>
      <c r="O38" s="1">
        <v>3.2</v>
      </c>
      <c r="P38" s="12">
        <f t="shared" si="1"/>
        <v>2400</v>
      </c>
      <c r="Q38" s="9" t="s">
        <v>12</v>
      </c>
      <c r="R38" s="14">
        <f t="shared" si="2"/>
        <v>1200</v>
      </c>
      <c r="S38" s="15">
        <f t="shared" si="3"/>
        <v>0.33333333333333331</v>
      </c>
      <c r="T38" s="9" t="str">
        <f t="shared" si="4"/>
        <v>Alta</v>
      </c>
    </row>
    <row r="39" spans="2:20" x14ac:dyDescent="0.25">
      <c r="B39" s="1" t="s">
        <v>86</v>
      </c>
      <c r="C39" s="8">
        <v>46325</v>
      </c>
      <c r="D39" s="1" t="s">
        <v>14</v>
      </c>
      <c r="E39" s="6" t="s">
        <v>20</v>
      </c>
      <c r="F39" s="6" t="str">
        <f>VLOOKUP(E39,'2. Productos'!$C$4:F43,2,0)</f>
        <v>Maní procesado</v>
      </c>
      <c r="G39" s="6" t="str">
        <f>VLOOKUP(E39,'2. Productos'!$C$4:F43,3,0)</f>
        <v>Semillas</v>
      </c>
      <c r="H39" s="6" t="str">
        <f>VLOOKUP(J39,'3. Mercados'!$C$4:$F$9,2,0)</f>
        <v>Norteamérica</v>
      </c>
      <c r="I39" s="11">
        <f>VLOOKUP(J39,'3. Mercados'!$C$4:$F$9,3,0)</f>
        <v>0.05</v>
      </c>
      <c r="J39" s="1" t="s">
        <v>16</v>
      </c>
      <c r="K39" s="1" t="str">
        <f>VLOOKUP(J39,'3. Mercados'!$C$4:$F$9,4,0)</f>
        <v>Estratégico</v>
      </c>
      <c r="L39" s="1">
        <v>900</v>
      </c>
      <c r="M39" s="1">
        <v>8.1999999999999993</v>
      </c>
      <c r="N39" s="12">
        <f t="shared" si="0"/>
        <v>7379.9999999999991</v>
      </c>
      <c r="O39" s="1">
        <v>5.9</v>
      </c>
      <c r="P39" s="12">
        <f t="shared" si="1"/>
        <v>5310</v>
      </c>
      <c r="Q39" s="9" t="s">
        <v>17</v>
      </c>
      <c r="R39" s="14">
        <f t="shared" si="2"/>
        <v>2069.9999999999991</v>
      </c>
      <c r="S39" s="15">
        <f t="shared" si="3"/>
        <v>0.2804878048780487</v>
      </c>
      <c r="T39" s="9" t="str">
        <f t="shared" si="4"/>
        <v>Mediana</v>
      </c>
    </row>
    <row r="40" spans="2:20" x14ac:dyDescent="0.25">
      <c r="B40" s="1" t="s">
        <v>87</v>
      </c>
      <c r="C40" s="8">
        <v>46333</v>
      </c>
      <c r="D40" s="1" t="s">
        <v>9</v>
      </c>
      <c r="E40" s="6" t="s">
        <v>15</v>
      </c>
      <c r="F40" s="6" t="str">
        <f>VLOOKUP(E40,'2. Productos'!$C$4:F44,2,0)</f>
        <v>Café especial</v>
      </c>
      <c r="G40" s="6" t="str">
        <f>VLOOKUP(E40,'2. Productos'!$C$4:F44,3,0)</f>
        <v>Café</v>
      </c>
      <c r="H40" s="6" t="str">
        <f>VLOOKUP(J40,'3. Mercados'!$C$4:$F$9,2,0)</f>
        <v>Centroamérica</v>
      </c>
      <c r="I40" s="11">
        <f>VLOOKUP(J40,'3. Mercados'!$C$4:$F$9,3,0)</f>
        <v>0.03</v>
      </c>
      <c r="J40" s="1" t="s">
        <v>11</v>
      </c>
      <c r="K40" s="1" t="str">
        <f>VLOOKUP(J40,'3. Mercados'!$C$4:$F$9,4,0)</f>
        <v>Estratégico</v>
      </c>
      <c r="L40" s="1">
        <v>1150</v>
      </c>
      <c r="M40" s="1">
        <v>6.5</v>
      </c>
      <c r="N40" s="12">
        <f t="shared" si="0"/>
        <v>7475</v>
      </c>
      <c r="O40" s="1">
        <v>4.0999999999999996</v>
      </c>
      <c r="P40" s="12">
        <f t="shared" si="1"/>
        <v>4715</v>
      </c>
      <c r="Q40" s="9" t="s">
        <v>17</v>
      </c>
      <c r="R40" s="14">
        <f t="shared" si="2"/>
        <v>2760</v>
      </c>
      <c r="S40" s="15">
        <f t="shared" si="3"/>
        <v>0.36923076923076925</v>
      </c>
      <c r="T40" s="9" t="str">
        <f t="shared" si="4"/>
        <v>Alta</v>
      </c>
    </row>
    <row r="41" spans="2:20" x14ac:dyDescent="0.25">
      <c r="B41" s="1" t="s">
        <v>88</v>
      </c>
      <c r="C41" s="8">
        <v>46341</v>
      </c>
      <c r="D41" s="1" t="s">
        <v>19</v>
      </c>
      <c r="E41" s="6" t="s">
        <v>29</v>
      </c>
      <c r="F41" s="6" t="str">
        <f>VLOOKUP(E41,'2. Productos'!$C$4:F45,2,0)</f>
        <v>Aceite de ajonjolí</v>
      </c>
      <c r="G41" s="6" t="str">
        <f>VLOOKUP(E41,'2. Productos'!$C$4:F45,3,0)</f>
        <v>Aceites</v>
      </c>
      <c r="H41" s="6" t="str">
        <f>VLOOKUP(J41,'3. Mercados'!$C$4:$F$9,2,0)</f>
        <v>Centroamérica</v>
      </c>
      <c r="I41" s="11">
        <f>VLOOKUP(J41,'3. Mercados'!$C$4:$F$9,3,0)</f>
        <v>0.02</v>
      </c>
      <c r="J41" s="1" t="s">
        <v>21</v>
      </c>
      <c r="K41" s="1" t="str">
        <f>VLOOKUP(J41,'3. Mercados'!$C$4:$F$9,4,0)</f>
        <v>Estratégico</v>
      </c>
      <c r="L41" s="1">
        <v>580</v>
      </c>
      <c r="M41" s="1">
        <v>12.5</v>
      </c>
      <c r="N41" s="12">
        <f t="shared" si="0"/>
        <v>7250</v>
      </c>
      <c r="O41" s="1">
        <v>8.6999999999999993</v>
      </c>
      <c r="P41" s="12">
        <f t="shared" si="1"/>
        <v>5046</v>
      </c>
      <c r="Q41" s="9" t="s">
        <v>12</v>
      </c>
      <c r="R41" s="14">
        <f t="shared" si="2"/>
        <v>2204</v>
      </c>
      <c r="S41" s="15">
        <f t="shared" si="3"/>
        <v>0.30399999999999999</v>
      </c>
      <c r="T41" s="9" t="str">
        <f t="shared" si="4"/>
        <v>Alta</v>
      </c>
    </row>
    <row r="42" spans="2:20" x14ac:dyDescent="0.25">
      <c r="B42" s="1" t="s">
        <v>89</v>
      </c>
      <c r="C42" s="8">
        <v>46349</v>
      </c>
      <c r="D42" s="1" t="s">
        <v>23</v>
      </c>
      <c r="E42" s="6" t="s">
        <v>10</v>
      </c>
      <c r="F42" s="6" t="str">
        <f>VLOOKUP(E42,'2. Productos'!$C$4:F46,2,0)</f>
        <v>Miel natural</v>
      </c>
      <c r="G42" s="6" t="str">
        <f>VLOOKUP(E42,'2. Productos'!$C$4:F46,3,0)</f>
        <v>Apícola</v>
      </c>
      <c r="H42" s="6" t="str">
        <f>VLOOKUP(J42,'3. Mercados'!$C$4:$F$9,2,0)</f>
        <v>Europa</v>
      </c>
      <c r="I42" s="11">
        <f>VLOOKUP(J42,'3. Mercados'!$C$4:$F$9,3,0)</f>
        <v>0.1</v>
      </c>
      <c r="J42" s="1" t="s">
        <v>25</v>
      </c>
      <c r="K42" s="1" t="str">
        <f>VLOOKUP(J42,'3. Mercados'!$C$4:$F$9,4,0)</f>
        <v>Potencial</v>
      </c>
      <c r="L42" s="1">
        <v>1300</v>
      </c>
      <c r="M42" s="1">
        <v>4.8</v>
      </c>
      <c r="N42" s="12">
        <f t="shared" si="0"/>
        <v>6240</v>
      </c>
      <c r="O42" s="1">
        <v>3.2</v>
      </c>
      <c r="P42" s="12">
        <f t="shared" si="1"/>
        <v>4160</v>
      </c>
      <c r="Q42" s="9" t="s">
        <v>26</v>
      </c>
      <c r="R42" s="14">
        <f t="shared" si="2"/>
        <v>2080</v>
      </c>
      <c r="S42" s="15">
        <f t="shared" si="3"/>
        <v>0.33333333333333331</v>
      </c>
      <c r="T42" s="9" t="str">
        <f t="shared" si="4"/>
        <v>Alta</v>
      </c>
    </row>
    <row r="43" spans="2:20" x14ac:dyDescent="0.25">
      <c r="B43" s="1" t="s">
        <v>90</v>
      </c>
      <c r="C43" s="8">
        <v>46357</v>
      </c>
      <c r="D43" s="1" t="s">
        <v>28</v>
      </c>
      <c r="E43" s="6" t="s">
        <v>24</v>
      </c>
      <c r="F43" s="6" t="str">
        <f>VLOOKUP(E43,'2. Productos'!$C$4:F47,2,0)</f>
        <v>Cacao en grano</v>
      </c>
      <c r="G43" s="6" t="str">
        <f>VLOOKUP(E43,'2. Productos'!$C$4:F47,3,0)</f>
        <v>Cacao</v>
      </c>
      <c r="H43" s="6" t="str">
        <f>VLOOKUP(J43,'3. Mercados'!$C$4:$F$9,2,0)</f>
        <v>Norteamérica</v>
      </c>
      <c r="I43" s="11">
        <f>VLOOKUP(J43,'3. Mercados'!$C$4:$F$9,3,0)</f>
        <v>0.08</v>
      </c>
      <c r="J43" s="1" t="s">
        <v>30</v>
      </c>
      <c r="K43" s="1" t="str">
        <f>VLOOKUP(J43,'3. Mercados'!$C$4:$F$9,4,0)</f>
        <v>Potencial</v>
      </c>
      <c r="L43" s="1">
        <v>900</v>
      </c>
      <c r="M43" s="1">
        <v>7.1</v>
      </c>
      <c r="N43" s="12">
        <f t="shared" si="0"/>
        <v>6390</v>
      </c>
      <c r="O43" s="1">
        <v>4.8</v>
      </c>
      <c r="P43" s="12">
        <f t="shared" si="1"/>
        <v>4320</v>
      </c>
      <c r="Q43" s="9" t="s">
        <v>17</v>
      </c>
      <c r="R43" s="14">
        <f t="shared" si="2"/>
        <v>2070</v>
      </c>
      <c r="S43" s="15">
        <f t="shared" si="3"/>
        <v>0.323943661971831</v>
      </c>
      <c r="T43" s="9" t="str">
        <f t="shared" si="4"/>
        <v>Alta</v>
      </c>
    </row>
    <row r="44" spans="2:20" x14ac:dyDescent="0.25">
      <c r="B44" s="1" t="s">
        <v>91</v>
      </c>
      <c r="C44" s="8">
        <v>46364</v>
      </c>
      <c r="D44" s="1" t="s">
        <v>14</v>
      </c>
      <c r="E44" s="6" t="s">
        <v>15</v>
      </c>
      <c r="F44" s="6" t="str">
        <f>VLOOKUP(E44,'2. Productos'!$C$4:F48,2,0)</f>
        <v>Café especial</v>
      </c>
      <c r="G44" s="6" t="str">
        <f>VLOOKUP(E44,'2. Productos'!$C$4:F48,3,0)</f>
        <v>Café</v>
      </c>
      <c r="H44" s="6" t="str">
        <f>VLOOKUP(J44,'3. Mercados'!$C$4:$F$9,2,0)</f>
        <v>Norteamérica</v>
      </c>
      <c r="I44" s="11">
        <f>VLOOKUP(J44,'3. Mercados'!$C$4:$F$9,3,0)</f>
        <v>0.05</v>
      </c>
      <c r="J44" s="1" t="s">
        <v>16</v>
      </c>
      <c r="K44" s="1" t="str">
        <f>VLOOKUP(J44,'3. Mercados'!$C$4:$F$9,4,0)</f>
        <v>Estratégico</v>
      </c>
      <c r="L44" s="1">
        <v>1400</v>
      </c>
      <c r="M44" s="1">
        <v>6.5</v>
      </c>
      <c r="N44" s="12">
        <f t="shared" si="0"/>
        <v>9100</v>
      </c>
      <c r="O44" s="1">
        <v>4.0999999999999996</v>
      </c>
      <c r="P44" s="12">
        <f t="shared" si="1"/>
        <v>5739.9999999999991</v>
      </c>
      <c r="Q44" s="9" t="s">
        <v>12</v>
      </c>
      <c r="R44" s="14">
        <f t="shared" si="2"/>
        <v>3360.0000000000009</v>
      </c>
      <c r="S44" s="15">
        <f t="shared" si="3"/>
        <v>0.36923076923076931</v>
      </c>
      <c r="T44" s="9" t="str">
        <f t="shared" si="4"/>
        <v>Alta</v>
      </c>
    </row>
    <row r="45" spans="2:20" x14ac:dyDescent="0.25">
      <c r="B45" s="1" t="s">
        <v>92</v>
      </c>
      <c r="C45" s="8">
        <v>46371</v>
      </c>
      <c r="D45" s="1" t="s">
        <v>9</v>
      </c>
      <c r="E45" s="6" t="s">
        <v>20</v>
      </c>
      <c r="F45" s="6" t="str">
        <f>VLOOKUP(E45,'2. Productos'!$C$4:F49,2,0)</f>
        <v>Maní procesado</v>
      </c>
      <c r="G45" s="6" t="str">
        <f>VLOOKUP(E45,'2. Productos'!$C$4:F49,3,0)</f>
        <v>Semillas</v>
      </c>
      <c r="H45" s="6" t="str">
        <f>VLOOKUP(J45,'3. Mercados'!$C$4:$F$9,2,0)</f>
        <v>Centroamérica</v>
      </c>
      <c r="I45" s="11">
        <f>VLOOKUP(J45,'3. Mercados'!$C$4:$F$9,3,0)</f>
        <v>0.03</v>
      </c>
      <c r="J45" s="1" t="s">
        <v>11</v>
      </c>
      <c r="K45" s="1" t="str">
        <f>VLOOKUP(J45,'3. Mercados'!$C$4:$F$9,4,0)</f>
        <v>Estratégico</v>
      </c>
      <c r="L45" s="1">
        <v>800</v>
      </c>
      <c r="M45" s="1">
        <v>8.1999999999999993</v>
      </c>
      <c r="N45" s="12">
        <f t="shared" si="0"/>
        <v>6559.9999999999991</v>
      </c>
      <c r="O45" s="1">
        <v>5.9</v>
      </c>
      <c r="P45" s="12">
        <f t="shared" si="1"/>
        <v>4720</v>
      </c>
      <c r="Q45" s="9" t="s">
        <v>17</v>
      </c>
      <c r="R45" s="14">
        <f t="shared" si="2"/>
        <v>1839.9999999999991</v>
      </c>
      <c r="S45" s="15">
        <f t="shared" si="3"/>
        <v>0.2804878048780487</v>
      </c>
      <c r="T45" s="9" t="str">
        <f t="shared" si="4"/>
        <v>Mediana</v>
      </c>
    </row>
    <row r="46" spans="2:20" x14ac:dyDescent="0.25">
      <c r="B46" s="1" t="s">
        <v>93</v>
      </c>
      <c r="C46" s="8">
        <v>46378</v>
      </c>
      <c r="D46" s="1" t="s">
        <v>19</v>
      </c>
      <c r="E46" s="6" t="s">
        <v>10</v>
      </c>
      <c r="F46" s="6" t="str">
        <f>VLOOKUP(E46,'2. Productos'!$C$4:F50,2,0)</f>
        <v>Miel natural</v>
      </c>
      <c r="G46" s="6" t="str">
        <f>VLOOKUP(E46,'2. Productos'!$C$4:F50,3,0)</f>
        <v>Apícola</v>
      </c>
      <c r="H46" s="6" t="str">
        <f>VLOOKUP(J46,'3. Mercados'!$C$4:$F$9,2,0)</f>
        <v>Centroamérica</v>
      </c>
      <c r="I46" s="11">
        <f>VLOOKUP(J46,'3. Mercados'!$C$4:$F$9,3,0)</f>
        <v>0.02</v>
      </c>
      <c r="J46" s="1" t="s">
        <v>21</v>
      </c>
      <c r="K46" s="1" t="str">
        <f>VLOOKUP(J46,'3. Mercados'!$C$4:$F$9,4,0)</f>
        <v>Estratégico</v>
      </c>
      <c r="L46" s="1">
        <v>1000</v>
      </c>
      <c r="M46" s="1">
        <v>4.8</v>
      </c>
      <c r="N46" s="12">
        <f t="shared" si="0"/>
        <v>4800</v>
      </c>
      <c r="O46" s="1">
        <v>3.2</v>
      </c>
      <c r="P46" s="12">
        <f t="shared" si="1"/>
        <v>3200</v>
      </c>
      <c r="Q46" s="9" t="s">
        <v>17</v>
      </c>
      <c r="R46" s="14">
        <f t="shared" si="2"/>
        <v>1600</v>
      </c>
      <c r="S46" s="15">
        <f t="shared" si="3"/>
        <v>0.33333333333333331</v>
      </c>
      <c r="T46" s="9" t="str">
        <f t="shared" si="4"/>
        <v>Alta</v>
      </c>
    </row>
    <row r="47" spans="2:20" x14ac:dyDescent="0.25">
      <c r="B47" s="1" t="s">
        <v>94</v>
      </c>
      <c r="C47" s="8">
        <v>46384</v>
      </c>
      <c r="D47" s="1" t="s">
        <v>23</v>
      </c>
      <c r="E47" s="6" t="s">
        <v>29</v>
      </c>
      <c r="F47" s="6" t="str">
        <f>VLOOKUP(E47,'2. Productos'!$C$4:F51,2,0)</f>
        <v>Aceite de ajonjolí</v>
      </c>
      <c r="G47" s="6" t="str">
        <f>VLOOKUP(E47,'2. Productos'!$C$4:F51,3,0)</f>
        <v>Aceites</v>
      </c>
      <c r="H47" s="6" t="str">
        <f>VLOOKUP(J47,'3. Mercados'!$C$4:$F$9,2,0)</f>
        <v>Europa</v>
      </c>
      <c r="I47" s="11">
        <f>VLOOKUP(J47,'3. Mercados'!$C$4:$F$9,3,0)</f>
        <v>0.1</v>
      </c>
      <c r="J47" s="1" t="s">
        <v>25</v>
      </c>
      <c r="K47" s="1" t="str">
        <f>VLOOKUP(J47,'3. Mercados'!$C$4:$F$9,4,0)</f>
        <v>Potencial</v>
      </c>
      <c r="L47" s="1">
        <v>650</v>
      </c>
      <c r="M47" s="1">
        <v>12.5</v>
      </c>
      <c r="N47" s="12">
        <f t="shared" si="0"/>
        <v>8125</v>
      </c>
      <c r="O47" s="1">
        <v>8.6999999999999993</v>
      </c>
      <c r="P47" s="12">
        <f t="shared" si="1"/>
        <v>5654.9999999999991</v>
      </c>
      <c r="Q47" s="9" t="s">
        <v>12</v>
      </c>
      <c r="R47" s="14">
        <f t="shared" si="2"/>
        <v>2470.0000000000009</v>
      </c>
      <c r="S47" s="15">
        <f t="shared" si="3"/>
        <v>0.3040000000000001</v>
      </c>
      <c r="T47" s="9" t="str">
        <f t="shared" si="4"/>
        <v>Alta</v>
      </c>
    </row>
    <row r="48" spans="2:20" x14ac:dyDescent="0.25">
      <c r="B48" s="1" t="s">
        <v>95</v>
      </c>
      <c r="C48" s="8">
        <v>46026</v>
      </c>
      <c r="D48" s="1" t="s">
        <v>28</v>
      </c>
      <c r="E48" s="6" t="s">
        <v>15</v>
      </c>
      <c r="F48" s="6" t="str">
        <f>VLOOKUP(E48,'2. Productos'!$C$4:F52,2,0)</f>
        <v>Café especial</v>
      </c>
      <c r="G48" s="6" t="str">
        <f>VLOOKUP(E48,'2. Productos'!$C$4:F52,3,0)</f>
        <v>Café</v>
      </c>
      <c r="H48" s="6" t="str">
        <f>VLOOKUP(J48,'3. Mercados'!$C$4:$F$9,2,0)</f>
        <v>Norteamérica</v>
      </c>
      <c r="I48" s="11">
        <f>VLOOKUP(J48,'3. Mercados'!$C$4:$F$9,3,0)</f>
        <v>0.08</v>
      </c>
      <c r="J48" s="1" t="s">
        <v>30</v>
      </c>
      <c r="K48" s="1" t="str">
        <f>VLOOKUP(J48,'3. Mercados'!$C$4:$F$9,4,0)</f>
        <v>Potencial</v>
      </c>
      <c r="L48" s="1">
        <v>780</v>
      </c>
      <c r="M48" s="1">
        <v>6.5</v>
      </c>
      <c r="N48" s="12">
        <f t="shared" si="0"/>
        <v>5070</v>
      </c>
      <c r="O48" s="1">
        <v>4.0999999999999996</v>
      </c>
      <c r="P48" s="12">
        <f t="shared" si="1"/>
        <v>3197.9999999999995</v>
      </c>
      <c r="Q48" s="9" t="s">
        <v>17</v>
      </c>
      <c r="R48" s="14">
        <f t="shared" si="2"/>
        <v>1872.0000000000005</v>
      </c>
      <c r="S48" s="15">
        <f t="shared" si="3"/>
        <v>0.36923076923076931</v>
      </c>
      <c r="T48" s="9" t="str">
        <f t="shared" si="4"/>
        <v>Alta</v>
      </c>
    </row>
    <row r="49" spans="2:20" x14ac:dyDescent="0.25">
      <c r="B49" s="1" t="s">
        <v>96</v>
      </c>
      <c r="C49" s="8">
        <v>46033</v>
      </c>
      <c r="D49" s="1" t="s">
        <v>14</v>
      </c>
      <c r="E49" s="6" t="s">
        <v>24</v>
      </c>
      <c r="F49" s="6" t="str">
        <f>VLOOKUP(E49,'2. Productos'!$C$4:F53,2,0)</f>
        <v>Cacao en grano</v>
      </c>
      <c r="G49" s="6" t="str">
        <f>VLOOKUP(E49,'2. Productos'!$C$4:F53,3,0)</f>
        <v>Cacao</v>
      </c>
      <c r="H49" s="6" t="str">
        <f>VLOOKUP(J49,'3. Mercados'!$C$4:$F$9,2,0)</f>
        <v>Norteamérica</v>
      </c>
      <c r="I49" s="11">
        <f>VLOOKUP(J49,'3. Mercados'!$C$4:$F$9,3,0)</f>
        <v>0.05</v>
      </c>
      <c r="J49" s="1" t="s">
        <v>16</v>
      </c>
      <c r="K49" s="1" t="str">
        <f>VLOOKUP(J49,'3. Mercados'!$C$4:$F$9,4,0)</f>
        <v>Estratégico</v>
      </c>
      <c r="L49" s="1">
        <v>1180</v>
      </c>
      <c r="M49" s="1">
        <v>7.1</v>
      </c>
      <c r="N49" s="12">
        <f t="shared" si="0"/>
        <v>8378</v>
      </c>
      <c r="O49" s="1">
        <v>4.8</v>
      </c>
      <c r="P49" s="12">
        <f t="shared" si="1"/>
        <v>5664</v>
      </c>
      <c r="Q49" s="9" t="s">
        <v>26</v>
      </c>
      <c r="R49" s="14">
        <f t="shared" si="2"/>
        <v>2714</v>
      </c>
      <c r="S49" s="15">
        <f t="shared" si="3"/>
        <v>0.323943661971831</v>
      </c>
      <c r="T49" s="9" t="str">
        <f t="shared" si="4"/>
        <v>Alta</v>
      </c>
    </row>
    <row r="50" spans="2:20" x14ac:dyDescent="0.25">
      <c r="B50" s="1" t="s">
        <v>97</v>
      </c>
      <c r="C50" s="8">
        <v>46040</v>
      </c>
      <c r="D50" s="1" t="s">
        <v>9</v>
      </c>
      <c r="E50" s="6" t="s">
        <v>10</v>
      </c>
      <c r="F50" s="6" t="str">
        <f>VLOOKUP(E50,'2. Productos'!$C$4:F54,2,0)</f>
        <v>Miel natural</v>
      </c>
      <c r="G50" s="6" t="str">
        <f>VLOOKUP(E50,'2. Productos'!$C$4:F54,3,0)</f>
        <v>Apícola</v>
      </c>
      <c r="H50" s="6" t="str">
        <f>VLOOKUP(J50,'3. Mercados'!$C$4:$F$9,2,0)</f>
        <v>Centroamérica</v>
      </c>
      <c r="I50" s="11">
        <f>VLOOKUP(J50,'3. Mercados'!$C$4:$F$9,3,0)</f>
        <v>0.03</v>
      </c>
      <c r="J50" s="1" t="s">
        <v>11</v>
      </c>
      <c r="K50" s="1" t="str">
        <f>VLOOKUP(J50,'3. Mercados'!$C$4:$F$9,4,0)</f>
        <v>Estratégico</v>
      </c>
      <c r="L50" s="1">
        <v>920</v>
      </c>
      <c r="M50" s="1">
        <v>4.8</v>
      </c>
      <c r="N50" s="12">
        <f t="shared" si="0"/>
        <v>4416</v>
      </c>
      <c r="O50" s="1">
        <v>3.2</v>
      </c>
      <c r="P50" s="12">
        <f t="shared" si="1"/>
        <v>2944</v>
      </c>
      <c r="Q50" s="9" t="s">
        <v>12</v>
      </c>
      <c r="R50" s="14">
        <f t="shared" si="2"/>
        <v>1472</v>
      </c>
      <c r="S50" s="15">
        <f t="shared" si="3"/>
        <v>0.33333333333333331</v>
      </c>
      <c r="T50" s="9" t="str">
        <f t="shared" si="4"/>
        <v>Alta</v>
      </c>
    </row>
    <row r="51" spans="2:20" x14ac:dyDescent="0.25">
      <c r="B51" s="1" t="s">
        <v>98</v>
      </c>
      <c r="C51" s="8">
        <v>46048</v>
      </c>
      <c r="D51" s="1" t="s">
        <v>19</v>
      </c>
      <c r="E51" s="6" t="s">
        <v>20</v>
      </c>
      <c r="F51" s="6" t="str">
        <f>VLOOKUP(E51,'2. Productos'!$C$4:F55,2,0)</f>
        <v>Maní procesado</v>
      </c>
      <c r="G51" s="6" t="str">
        <f>VLOOKUP(E51,'2. Productos'!$C$4:F55,3,0)</f>
        <v>Semillas</v>
      </c>
      <c r="H51" s="6" t="str">
        <f>VLOOKUP(J51,'3. Mercados'!$C$4:$F$9,2,0)</f>
        <v>Centroamérica</v>
      </c>
      <c r="I51" s="11">
        <f>VLOOKUP(J51,'3. Mercados'!$C$4:$F$9,3,0)</f>
        <v>0.02</v>
      </c>
      <c r="J51" s="1" t="s">
        <v>21</v>
      </c>
      <c r="K51" s="1" t="str">
        <f>VLOOKUP(J51,'3. Mercados'!$C$4:$F$9,4,0)</f>
        <v>Estratégico</v>
      </c>
      <c r="L51" s="1">
        <v>680</v>
      </c>
      <c r="M51" s="1">
        <v>8.1999999999999993</v>
      </c>
      <c r="N51" s="12">
        <f t="shared" si="0"/>
        <v>5575.9999999999991</v>
      </c>
      <c r="O51" s="1">
        <v>5.9</v>
      </c>
      <c r="P51" s="12">
        <f t="shared" si="1"/>
        <v>4012.0000000000005</v>
      </c>
      <c r="Q51" s="9" t="s">
        <v>17</v>
      </c>
      <c r="R51" s="14">
        <f t="shared" si="2"/>
        <v>1563.9999999999986</v>
      </c>
      <c r="S51" s="15">
        <f t="shared" si="3"/>
        <v>0.28048780487804859</v>
      </c>
      <c r="T51" s="9" t="str">
        <f t="shared" si="4"/>
        <v>Mediana</v>
      </c>
    </row>
    <row r="52" spans="2:20" x14ac:dyDescent="0.25">
      <c r="B52" s="1" t="s">
        <v>99</v>
      </c>
      <c r="C52" s="8">
        <v>46057</v>
      </c>
      <c r="D52" s="1" t="s">
        <v>23</v>
      </c>
      <c r="E52" s="6" t="s">
        <v>15</v>
      </c>
      <c r="F52" s="6" t="str">
        <f>VLOOKUP(E52,'2. Productos'!$C$4:F56,2,0)</f>
        <v>Café especial</v>
      </c>
      <c r="G52" s="6" t="str">
        <f>VLOOKUP(E52,'2. Productos'!$C$4:F56,3,0)</f>
        <v>Café</v>
      </c>
      <c r="H52" s="6" t="str">
        <f>VLOOKUP(J52,'3. Mercados'!$C$4:$F$9,2,0)</f>
        <v>Europa</v>
      </c>
      <c r="I52" s="11">
        <f>VLOOKUP(J52,'3. Mercados'!$C$4:$F$9,3,0)</f>
        <v>0.1</v>
      </c>
      <c r="J52" s="1" t="s">
        <v>25</v>
      </c>
      <c r="K52" s="1" t="str">
        <f>VLOOKUP(J52,'3. Mercados'!$C$4:$F$9,4,0)</f>
        <v>Potencial</v>
      </c>
      <c r="L52" s="1">
        <v>1080</v>
      </c>
      <c r="M52" s="1">
        <v>6.5</v>
      </c>
      <c r="N52" s="12">
        <f t="shared" si="0"/>
        <v>7020</v>
      </c>
      <c r="O52" s="1">
        <v>4.0999999999999996</v>
      </c>
      <c r="P52" s="12">
        <f t="shared" si="1"/>
        <v>4428</v>
      </c>
      <c r="Q52" s="9" t="s">
        <v>12</v>
      </c>
      <c r="R52" s="14">
        <f t="shared" si="2"/>
        <v>2592</v>
      </c>
      <c r="S52" s="15">
        <f t="shared" si="3"/>
        <v>0.36923076923076925</v>
      </c>
      <c r="T52" s="9" t="str">
        <f t="shared" si="4"/>
        <v>Alta</v>
      </c>
    </row>
    <row r="53" spans="2:20" x14ac:dyDescent="0.25">
      <c r="B53" s="1" t="s">
        <v>100</v>
      </c>
      <c r="C53" s="8">
        <v>46065</v>
      </c>
      <c r="D53" s="1" t="s">
        <v>28</v>
      </c>
      <c r="E53" s="6" t="s">
        <v>29</v>
      </c>
      <c r="F53" s="6" t="str">
        <f>VLOOKUP(E53,'2. Productos'!$C$4:F57,2,0)</f>
        <v>Aceite de ajonjolí</v>
      </c>
      <c r="G53" s="6" t="str">
        <f>VLOOKUP(E53,'2. Productos'!$C$4:F57,3,0)</f>
        <v>Aceites</v>
      </c>
      <c r="H53" s="6" t="str">
        <f>VLOOKUP(J53,'3. Mercados'!$C$4:$F$9,2,0)</f>
        <v>Norteamérica</v>
      </c>
      <c r="I53" s="11">
        <f>VLOOKUP(J53,'3. Mercados'!$C$4:$F$9,3,0)</f>
        <v>0.08</v>
      </c>
      <c r="J53" s="1" t="s">
        <v>30</v>
      </c>
      <c r="K53" s="1" t="str">
        <f>VLOOKUP(J53,'3. Mercados'!$C$4:$F$9,4,0)</f>
        <v>Potencial</v>
      </c>
      <c r="L53" s="1">
        <v>520</v>
      </c>
      <c r="M53" s="1">
        <v>12.5</v>
      </c>
      <c r="N53" s="12">
        <f t="shared" si="0"/>
        <v>6500</v>
      </c>
      <c r="O53" s="1">
        <v>8.6999999999999993</v>
      </c>
      <c r="P53" s="12">
        <f t="shared" si="1"/>
        <v>4524</v>
      </c>
      <c r="Q53" s="9" t="s">
        <v>17</v>
      </c>
      <c r="R53" s="14">
        <f t="shared" si="2"/>
        <v>1976</v>
      </c>
      <c r="S53" s="15">
        <f t="shared" si="3"/>
        <v>0.30399999999999999</v>
      </c>
      <c r="T53" s="9" t="str">
        <f t="shared" si="4"/>
        <v>Alta</v>
      </c>
    </row>
    <row r="54" spans="2:20" x14ac:dyDescent="0.25">
      <c r="B54" s="1" t="s">
        <v>101</v>
      </c>
      <c r="C54" s="8">
        <v>46074</v>
      </c>
      <c r="D54" s="1" t="s">
        <v>14</v>
      </c>
      <c r="E54" s="6" t="s">
        <v>10</v>
      </c>
      <c r="F54" s="6" t="str">
        <f>VLOOKUP(E54,'2. Productos'!$C$4:F58,2,0)</f>
        <v>Miel natural</v>
      </c>
      <c r="G54" s="6" t="str">
        <f>VLOOKUP(E54,'2. Productos'!$C$4:F58,3,0)</f>
        <v>Apícola</v>
      </c>
      <c r="H54" s="6" t="str">
        <f>VLOOKUP(J54,'3. Mercados'!$C$4:$F$9,2,0)</f>
        <v>Norteamérica</v>
      </c>
      <c r="I54" s="11">
        <f>VLOOKUP(J54,'3. Mercados'!$C$4:$F$9,3,0)</f>
        <v>0.05</v>
      </c>
      <c r="J54" s="1" t="s">
        <v>16</v>
      </c>
      <c r="K54" s="1" t="str">
        <f>VLOOKUP(J54,'3. Mercados'!$C$4:$F$9,4,0)</f>
        <v>Estratégico</v>
      </c>
      <c r="L54" s="1">
        <v>1450</v>
      </c>
      <c r="M54" s="1">
        <v>4.8</v>
      </c>
      <c r="N54" s="12">
        <f t="shared" si="0"/>
        <v>6960</v>
      </c>
      <c r="O54" s="1">
        <v>3.2</v>
      </c>
      <c r="P54" s="12">
        <f t="shared" si="1"/>
        <v>4640</v>
      </c>
      <c r="Q54" s="9" t="s">
        <v>17</v>
      </c>
      <c r="R54" s="14">
        <f t="shared" si="2"/>
        <v>2320</v>
      </c>
      <c r="S54" s="15">
        <f t="shared" si="3"/>
        <v>0.33333333333333331</v>
      </c>
      <c r="T54" s="9" t="str">
        <f t="shared" si="4"/>
        <v>Alta</v>
      </c>
    </row>
    <row r="55" spans="2:20" x14ac:dyDescent="0.25">
      <c r="B55" s="1" t="s">
        <v>102</v>
      </c>
      <c r="C55" s="8">
        <v>46082</v>
      </c>
      <c r="D55" s="1" t="s">
        <v>9</v>
      </c>
      <c r="E55" s="6" t="s">
        <v>24</v>
      </c>
      <c r="F55" s="6" t="str">
        <f>VLOOKUP(E55,'2. Productos'!$C$4:F59,2,0)</f>
        <v>Cacao en grano</v>
      </c>
      <c r="G55" s="6" t="str">
        <f>VLOOKUP(E55,'2. Productos'!$C$4:F59,3,0)</f>
        <v>Cacao</v>
      </c>
      <c r="H55" s="6" t="str">
        <f>VLOOKUP(J55,'3. Mercados'!$C$4:$F$9,2,0)</f>
        <v>Centroamérica</v>
      </c>
      <c r="I55" s="11">
        <f>VLOOKUP(J55,'3. Mercados'!$C$4:$F$9,3,0)</f>
        <v>0.03</v>
      </c>
      <c r="J55" s="1" t="s">
        <v>11</v>
      </c>
      <c r="K55" s="1" t="str">
        <f>VLOOKUP(J55,'3. Mercados'!$C$4:$F$9,4,0)</f>
        <v>Estratégico</v>
      </c>
      <c r="L55" s="1">
        <v>880</v>
      </c>
      <c r="M55" s="1">
        <v>7.1</v>
      </c>
      <c r="N55" s="12">
        <f t="shared" si="0"/>
        <v>6248</v>
      </c>
      <c r="O55" s="1">
        <v>4.8</v>
      </c>
      <c r="P55" s="12">
        <f t="shared" si="1"/>
        <v>4224</v>
      </c>
      <c r="Q55" s="9" t="s">
        <v>26</v>
      </c>
      <c r="R55" s="14">
        <f t="shared" si="2"/>
        <v>2024</v>
      </c>
      <c r="S55" s="15">
        <f t="shared" si="3"/>
        <v>0.323943661971831</v>
      </c>
      <c r="T55" s="9" t="str">
        <f t="shared" si="4"/>
        <v>Alta</v>
      </c>
    </row>
    <row r="56" spans="2:20" x14ac:dyDescent="0.25">
      <c r="B56" s="1" t="s">
        <v>103</v>
      </c>
      <c r="C56" s="8">
        <v>46091</v>
      </c>
      <c r="D56" s="1" t="s">
        <v>19</v>
      </c>
      <c r="E56" s="6" t="s">
        <v>15</v>
      </c>
      <c r="F56" s="6" t="str">
        <f>VLOOKUP(E56,'2. Productos'!$C$4:F60,2,0)</f>
        <v>Café especial</v>
      </c>
      <c r="G56" s="6" t="str">
        <f>VLOOKUP(E56,'2. Productos'!$C$4:F60,3,0)</f>
        <v>Café</v>
      </c>
      <c r="H56" s="6" t="str">
        <f>VLOOKUP(J56,'3. Mercados'!$C$4:$F$9,2,0)</f>
        <v>Centroamérica</v>
      </c>
      <c r="I56" s="11">
        <f>VLOOKUP(J56,'3. Mercados'!$C$4:$F$9,3,0)</f>
        <v>0.02</v>
      </c>
      <c r="J56" s="1" t="s">
        <v>21</v>
      </c>
      <c r="K56" s="1" t="str">
        <f>VLOOKUP(J56,'3. Mercados'!$C$4:$F$9,4,0)</f>
        <v>Estratégico</v>
      </c>
      <c r="L56" s="1">
        <v>970</v>
      </c>
      <c r="M56" s="1">
        <v>6.5</v>
      </c>
      <c r="N56" s="12">
        <f t="shared" si="0"/>
        <v>6305</v>
      </c>
      <c r="O56" s="1">
        <v>4.0999999999999996</v>
      </c>
      <c r="P56" s="12">
        <f t="shared" si="1"/>
        <v>3976.9999999999995</v>
      </c>
      <c r="Q56" s="9" t="s">
        <v>12</v>
      </c>
      <c r="R56" s="14">
        <f t="shared" si="2"/>
        <v>2328.0000000000005</v>
      </c>
      <c r="S56" s="15">
        <f t="shared" si="3"/>
        <v>0.36923076923076931</v>
      </c>
      <c r="T56" s="9" t="str">
        <f t="shared" si="4"/>
        <v>Alta</v>
      </c>
    </row>
    <row r="57" spans="2:20" x14ac:dyDescent="0.25">
      <c r="B57" s="1" t="s">
        <v>104</v>
      </c>
      <c r="C57" s="8">
        <v>46100</v>
      </c>
      <c r="D57" s="1" t="s">
        <v>23</v>
      </c>
      <c r="E57" s="6" t="s">
        <v>20</v>
      </c>
      <c r="F57" s="6" t="str">
        <f>VLOOKUP(E57,'2. Productos'!$C$4:F61,2,0)</f>
        <v>Maní procesado</v>
      </c>
      <c r="G57" s="6" t="str">
        <f>VLOOKUP(E57,'2. Productos'!$C$4:F61,3,0)</f>
        <v>Semillas</v>
      </c>
      <c r="H57" s="6" t="str">
        <f>VLOOKUP(J57,'3. Mercados'!$C$4:$F$9,2,0)</f>
        <v>Europa</v>
      </c>
      <c r="I57" s="11">
        <f>VLOOKUP(J57,'3. Mercados'!$C$4:$F$9,3,0)</f>
        <v>0.1</v>
      </c>
      <c r="J57" s="1" t="s">
        <v>25</v>
      </c>
      <c r="K57" s="1" t="str">
        <f>VLOOKUP(J57,'3. Mercados'!$C$4:$F$9,4,0)</f>
        <v>Potencial</v>
      </c>
      <c r="L57" s="1">
        <v>760</v>
      </c>
      <c r="M57" s="1">
        <v>8.1999999999999993</v>
      </c>
      <c r="N57" s="12">
        <f t="shared" si="0"/>
        <v>6231.9999999999991</v>
      </c>
      <c r="O57" s="1">
        <v>5.9</v>
      </c>
      <c r="P57" s="12">
        <f t="shared" si="1"/>
        <v>4484</v>
      </c>
      <c r="Q57" s="9" t="s">
        <v>17</v>
      </c>
      <c r="R57" s="14">
        <f t="shared" si="2"/>
        <v>1747.9999999999991</v>
      </c>
      <c r="S57" s="15">
        <f t="shared" si="3"/>
        <v>0.2804878048780487</v>
      </c>
      <c r="T57" s="9" t="str">
        <f t="shared" si="4"/>
        <v>Mediana</v>
      </c>
    </row>
    <row r="58" spans="2:20" x14ac:dyDescent="0.25">
      <c r="B58" s="1" t="s">
        <v>105</v>
      </c>
      <c r="C58" s="8">
        <v>46109</v>
      </c>
      <c r="D58" s="1" t="s">
        <v>28</v>
      </c>
      <c r="E58" s="6" t="s">
        <v>10</v>
      </c>
      <c r="F58" s="6" t="str">
        <f>VLOOKUP(E58,'2. Productos'!$C$4:F62,2,0)</f>
        <v>Miel natural</v>
      </c>
      <c r="G58" s="6" t="str">
        <f>VLOOKUP(E58,'2. Productos'!$C$4:F62,3,0)</f>
        <v>Apícola</v>
      </c>
      <c r="H58" s="6" t="str">
        <f>VLOOKUP(J58,'3. Mercados'!$C$4:$F$9,2,0)</f>
        <v>Norteamérica</v>
      </c>
      <c r="I58" s="11">
        <f>VLOOKUP(J58,'3. Mercados'!$C$4:$F$9,3,0)</f>
        <v>0.08</v>
      </c>
      <c r="J58" s="1" t="s">
        <v>30</v>
      </c>
      <c r="K58" s="1" t="str">
        <f>VLOOKUP(J58,'3. Mercados'!$C$4:$F$9,4,0)</f>
        <v>Potencial</v>
      </c>
      <c r="L58" s="1">
        <v>620</v>
      </c>
      <c r="M58" s="1">
        <v>4.8</v>
      </c>
      <c r="N58" s="12">
        <f t="shared" si="0"/>
        <v>2976</v>
      </c>
      <c r="O58" s="1">
        <v>3.2</v>
      </c>
      <c r="P58" s="12">
        <f t="shared" si="1"/>
        <v>1984</v>
      </c>
      <c r="Q58" s="9" t="s">
        <v>12</v>
      </c>
      <c r="R58" s="14">
        <f t="shared" si="2"/>
        <v>992</v>
      </c>
      <c r="S58" s="15">
        <f t="shared" si="3"/>
        <v>0.33333333333333331</v>
      </c>
      <c r="T58" s="9" t="str">
        <f t="shared" si="4"/>
        <v>Alta</v>
      </c>
    </row>
    <row r="59" spans="2:20" x14ac:dyDescent="0.25">
      <c r="B59" s="1" t="s">
        <v>106</v>
      </c>
      <c r="C59" s="8">
        <v>46118</v>
      </c>
      <c r="D59" s="1" t="s">
        <v>14</v>
      </c>
      <c r="E59" s="6" t="s">
        <v>29</v>
      </c>
      <c r="F59" s="6" t="str">
        <f>VLOOKUP(E59,'2. Productos'!$C$4:F63,2,0)</f>
        <v>Aceite de ajonjolí</v>
      </c>
      <c r="G59" s="6" t="str">
        <f>VLOOKUP(E59,'2. Productos'!$C$4:F63,3,0)</f>
        <v>Aceites</v>
      </c>
      <c r="H59" s="6" t="str">
        <f>VLOOKUP(J59,'3. Mercados'!$C$4:$F$9,2,0)</f>
        <v>Norteamérica</v>
      </c>
      <c r="I59" s="11">
        <f>VLOOKUP(J59,'3. Mercados'!$C$4:$F$9,3,0)</f>
        <v>0.05</v>
      </c>
      <c r="J59" s="1" t="s">
        <v>16</v>
      </c>
      <c r="K59" s="1" t="str">
        <f>VLOOKUP(J59,'3. Mercados'!$C$4:$F$9,4,0)</f>
        <v>Estratégico</v>
      </c>
      <c r="L59" s="1">
        <v>820</v>
      </c>
      <c r="M59" s="1">
        <v>12.5</v>
      </c>
      <c r="N59" s="12">
        <f t="shared" si="0"/>
        <v>10250</v>
      </c>
      <c r="O59" s="1">
        <v>8.6999999999999993</v>
      </c>
      <c r="P59" s="12">
        <f t="shared" si="1"/>
        <v>7133.9999999999991</v>
      </c>
      <c r="Q59" s="9" t="s">
        <v>17</v>
      </c>
      <c r="R59" s="14">
        <f t="shared" si="2"/>
        <v>3116.0000000000009</v>
      </c>
      <c r="S59" s="15">
        <f t="shared" si="3"/>
        <v>0.3040000000000001</v>
      </c>
      <c r="T59" s="9" t="str">
        <f t="shared" si="4"/>
        <v>Alta</v>
      </c>
    </row>
    <row r="60" spans="2:20" x14ac:dyDescent="0.25">
      <c r="B60" s="1" t="s">
        <v>107</v>
      </c>
      <c r="C60" s="8">
        <v>46127</v>
      </c>
      <c r="D60" s="1" t="s">
        <v>9</v>
      </c>
      <c r="E60" s="6" t="s">
        <v>15</v>
      </c>
      <c r="F60" s="6" t="str">
        <f>VLOOKUP(E60,'2. Productos'!$C$4:F64,2,0)</f>
        <v>Café especial</v>
      </c>
      <c r="G60" s="6" t="str">
        <f>VLOOKUP(E60,'2. Productos'!$C$4:F64,3,0)</f>
        <v>Café</v>
      </c>
      <c r="H60" s="6" t="str">
        <f>VLOOKUP(J60,'3. Mercados'!$C$4:$F$9,2,0)</f>
        <v>Centroamérica</v>
      </c>
      <c r="I60" s="11">
        <f>VLOOKUP(J60,'3. Mercados'!$C$4:$F$9,3,0)</f>
        <v>0.03</v>
      </c>
      <c r="J60" s="1" t="s">
        <v>11</v>
      </c>
      <c r="K60" s="1" t="str">
        <f>VLOOKUP(J60,'3. Mercados'!$C$4:$F$9,4,0)</f>
        <v>Estratégico</v>
      </c>
      <c r="L60" s="1">
        <v>1250</v>
      </c>
      <c r="M60" s="1">
        <v>6.5</v>
      </c>
      <c r="N60" s="12">
        <f t="shared" si="0"/>
        <v>8125</v>
      </c>
      <c r="O60" s="1">
        <v>4.0999999999999996</v>
      </c>
      <c r="P60" s="12">
        <f t="shared" si="1"/>
        <v>5125</v>
      </c>
      <c r="Q60" s="9" t="s">
        <v>17</v>
      </c>
      <c r="R60" s="14">
        <f t="shared" si="2"/>
        <v>3000</v>
      </c>
      <c r="S60" s="15">
        <f t="shared" si="3"/>
        <v>0.36923076923076925</v>
      </c>
      <c r="T60" s="9" t="str">
        <f t="shared" si="4"/>
        <v>Alta</v>
      </c>
    </row>
    <row r="61" spans="2:20" x14ac:dyDescent="0.25">
      <c r="B61" s="1" t="s">
        <v>108</v>
      </c>
      <c r="C61" s="8">
        <v>46136</v>
      </c>
      <c r="D61" s="1" t="s">
        <v>19</v>
      </c>
      <c r="E61" s="6" t="s">
        <v>24</v>
      </c>
      <c r="F61" s="6" t="str">
        <f>VLOOKUP(E61,'2. Productos'!$C$4:F65,2,0)</f>
        <v>Cacao en grano</v>
      </c>
      <c r="G61" s="6" t="str">
        <f>VLOOKUP(E61,'2. Productos'!$C$4:F65,3,0)</f>
        <v>Cacao</v>
      </c>
      <c r="H61" s="6" t="str">
        <f>VLOOKUP(J61,'3. Mercados'!$C$4:$F$9,2,0)</f>
        <v>Centroamérica</v>
      </c>
      <c r="I61" s="11">
        <f>VLOOKUP(J61,'3. Mercados'!$C$4:$F$9,3,0)</f>
        <v>0.02</v>
      </c>
      <c r="J61" s="1" t="s">
        <v>21</v>
      </c>
      <c r="K61" s="1" t="str">
        <f>VLOOKUP(J61,'3. Mercados'!$C$4:$F$9,4,0)</f>
        <v>Estratégico</v>
      </c>
      <c r="L61" s="1">
        <v>790</v>
      </c>
      <c r="M61" s="1">
        <v>7.1</v>
      </c>
      <c r="N61" s="12">
        <f t="shared" si="0"/>
        <v>5609</v>
      </c>
      <c r="O61" s="1">
        <v>4.8</v>
      </c>
      <c r="P61" s="12">
        <f t="shared" si="1"/>
        <v>3792</v>
      </c>
      <c r="Q61" s="9" t="s">
        <v>12</v>
      </c>
      <c r="R61" s="14">
        <f t="shared" si="2"/>
        <v>1817</v>
      </c>
      <c r="S61" s="15">
        <f t="shared" si="3"/>
        <v>0.323943661971831</v>
      </c>
      <c r="T61" s="9" t="str">
        <f t="shared" si="4"/>
        <v>Alta</v>
      </c>
    </row>
    <row r="62" spans="2:20" x14ac:dyDescent="0.25">
      <c r="B62" s="1" t="s">
        <v>109</v>
      </c>
      <c r="C62" s="8">
        <v>46145</v>
      </c>
      <c r="D62" s="1" t="s">
        <v>23</v>
      </c>
      <c r="E62" s="6" t="s">
        <v>10</v>
      </c>
      <c r="F62" s="6" t="str">
        <f>VLOOKUP(E62,'2. Productos'!$C$4:F66,2,0)</f>
        <v>Miel natural</v>
      </c>
      <c r="G62" s="6" t="str">
        <f>VLOOKUP(E62,'2. Productos'!$C$4:F66,3,0)</f>
        <v>Apícola</v>
      </c>
      <c r="H62" s="6" t="str">
        <f>VLOOKUP(J62,'3. Mercados'!$C$4:$F$9,2,0)</f>
        <v>Europa</v>
      </c>
      <c r="I62" s="11">
        <f>VLOOKUP(J62,'3. Mercados'!$C$4:$F$9,3,0)</f>
        <v>0.1</v>
      </c>
      <c r="J62" s="1" t="s">
        <v>25</v>
      </c>
      <c r="K62" s="1" t="str">
        <f>VLOOKUP(J62,'3. Mercados'!$C$4:$F$9,4,0)</f>
        <v>Potencial</v>
      </c>
      <c r="L62" s="1">
        <v>980</v>
      </c>
      <c r="M62" s="1">
        <v>4.8</v>
      </c>
      <c r="N62" s="12">
        <f t="shared" si="0"/>
        <v>4704</v>
      </c>
      <c r="O62" s="1">
        <v>3.2</v>
      </c>
      <c r="P62" s="12">
        <f t="shared" si="1"/>
        <v>3136</v>
      </c>
      <c r="Q62" s="9" t="s">
        <v>26</v>
      </c>
      <c r="R62" s="14">
        <f t="shared" si="2"/>
        <v>1568</v>
      </c>
      <c r="S62" s="15">
        <f t="shared" si="3"/>
        <v>0.33333333333333331</v>
      </c>
      <c r="T62" s="9" t="str">
        <f t="shared" si="4"/>
        <v>Alta</v>
      </c>
    </row>
    <row r="63" spans="2:20" x14ac:dyDescent="0.25">
      <c r="B63" s="1" t="s">
        <v>110</v>
      </c>
      <c r="C63" s="8">
        <v>46154</v>
      </c>
      <c r="D63" s="1" t="s">
        <v>28</v>
      </c>
      <c r="E63" s="6" t="s">
        <v>20</v>
      </c>
      <c r="F63" s="6" t="str">
        <f>VLOOKUP(E63,'2. Productos'!$C$4:F67,2,0)</f>
        <v>Maní procesado</v>
      </c>
      <c r="G63" s="6" t="str">
        <f>VLOOKUP(E63,'2. Productos'!$C$4:F67,3,0)</f>
        <v>Semillas</v>
      </c>
      <c r="H63" s="6" t="str">
        <f>VLOOKUP(J63,'3. Mercados'!$C$4:$F$9,2,0)</f>
        <v>Norteamérica</v>
      </c>
      <c r="I63" s="11">
        <f>VLOOKUP(J63,'3. Mercados'!$C$4:$F$9,3,0)</f>
        <v>0.08</v>
      </c>
      <c r="J63" s="1" t="s">
        <v>30</v>
      </c>
      <c r="K63" s="1" t="str">
        <f>VLOOKUP(J63,'3. Mercados'!$C$4:$F$9,4,0)</f>
        <v>Potencial</v>
      </c>
      <c r="L63" s="1">
        <v>730</v>
      </c>
      <c r="M63" s="1">
        <v>8.1999999999999993</v>
      </c>
      <c r="N63" s="12">
        <f t="shared" si="0"/>
        <v>5985.9999999999991</v>
      </c>
      <c r="O63" s="1">
        <v>5.9</v>
      </c>
      <c r="P63" s="12">
        <f t="shared" si="1"/>
        <v>4307</v>
      </c>
      <c r="Q63" s="9" t="s">
        <v>17</v>
      </c>
      <c r="R63" s="14">
        <f t="shared" si="2"/>
        <v>1678.9999999999991</v>
      </c>
      <c r="S63" s="15">
        <f t="shared" si="3"/>
        <v>0.2804878048780487</v>
      </c>
      <c r="T63" s="9" t="str">
        <f t="shared" si="4"/>
        <v>Mediana</v>
      </c>
    </row>
    <row r="64" spans="2:20" x14ac:dyDescent="0.25">
      <c r="B64" s="1" t="s">
        <v>111</v>
      </c>
      <c r="C64" s="8">
        <v>46163</v>
      </c>
      <c r="D64" s="1" t="s">
        <v>14</v>
      </c>
      <c r="E64" s="6" t="s">
        <v>15</v>
      </c>
      <c r="F64" s="6" t="str">
        <f>VLOOKUP(E64,'2. Productos'!$C$4:F68,2,0)</f>
        <v>Café especial</v>
      </c>
      <c r="G64" s="6" t="str">
        <f>VLOOKUP(E64,'2. Productos'!$C$4:F68,3,0)</f>
        <v>Café</v>
      </c>
      <c r="H64" s="6" t="str">
        <f>VLOOKUP(J64,'3. Mercados'!$C$4:$F$9,2,0)</f>
        <v>Norteamérica</v>
      </c>
      <c r="I64" s="11">
        <f>VLOOKUP(J64,'3. Mercados'!$C$4:$F$9,3,0)</f>
        <v>0.05</v>
      </c>
      <c r="J64" s="1" t="s">
        <v>16</v>
      </c>
      <c r="K64" s="1" t="str">
        <f>VLOOKUP(J64,'3. Mercados'!$C$4:$F$9,4,0)</f>
        <v>Estratégico</v>
      </c>
      <c r="L64" s="1">
        <v>1320</v>
      </c>
      <c r="M64" s="1">
        <v>6.5</v>
      </c>
      <c r="N64" s="12">
        <f t="shared" si="0"/>
        <v>8580</v>
      </c>
      <c r="O64" s="1">
        <v>4.0999999999999996</v>
      </c>
      <c r="P64" s="12">
        <f t="shared" si="1"/>
        <v>5411.9999999999991</v>
      </c>
      <c r="Q64" s="9" t="s">
        <v>12</v>
      </c>
      <c r="R64" s="14">
        <f t="shared" si="2"/>
        <v>3168.0000000000009</v>
      </c>
      <c r="S64" s="15">
        <f t="shared" si="3"/>
        <v>0.36923076923076936</v>
      </c>
      <c r="T64" s="9" t="str">
        <f t="shared" si="4"/>
        <v>Alta</v>
      </c>
    </row>
    <row r="65" spans="2:20" x14ac:dyDescent="0.25">
      <c r="B65" s="1" t="s">
        <v>112</v>
      </c>
      <c r="C65" s="8">
        <v>46172</v>
      </c>
      <c r="D65" s="1" t="s">
        <v>9</v>
      </c>
      <c r="E65" s="6" t="s">
        <v>29</v>
      </c>
      <c r="F65" s="6" t="str">
        <f>VLOOKUP(E65,'2. Productos'!$C$4:F69,2,0)</f>
        <v>Aceite de ajonjolí</v>
      </c>
      <c r="G65" s="6" t="str">
        <f>VLOOKUP(E65,'2. Productos'!$C$4:F69,3,0)</f>
        <v>Aceites</v>
      </c>
      <c r="H65" s="6" t="str">
        <f>VLOOKUP(J65,'3. Mercados'!$C$4:$F$9,2,0)</f>
        <v>Centroamérica</v>
      </c>
      <c r="I65" s="11">
        <f>VLOOKUP(J65,'3. Mercados'!$C$4:$F$9,3,0)</f>
        <v>0.03</v>
      </c>
      <c r="J65" s="1" t="s">
        <v>11</v>
      </c>
      <c r="K65" s="1" t="str">
        <f>VLOOKUP(J65,'3. Mercados'!$C$4:$F$9,4,0)</f>
        <v>Estratégico</v>
      </c>
      <c r="L65" s="1">
        <v>470</v>
      </c>
      <c r="M65" s="1">
        <v>12.5</v>
      </c>
      <c r="N65" s="12">
        <f t="shared" si="0"/>
        <v>5875</v>
      </c>
      <c r="O65" s="1">
        <v>8.6999999999999993</v>
      </c>
      <c r="P65" s="12">
        <f t="shared" si="1"/>
        <v>4088.9999999999995</v>
      </c>
      <c r="Q65" s="9" t="s">
        <v>17</v>
      </c>
      <c r="R65" s="14">
        <f t="shared" si="2"/>
        <v>1786.0000000000005</v>
      </c>
      <c r="S65" s="15">
        <f t="shared" si="3"/>
        <v>0.3040000000000001</v>
      </c>
      <c r="T65" s="9" t="str">
        <f t="shared" si="4"/>
        <v>Alta</v>
      </c>
    </row>
    <row r="66" spans="2:20" x14ac:dyDescent="0.25">
      <c r="B66" s="1" t="s">
        <v>113</v>
      </c>
      <c r="C66" s="8">
        <v>46181</v>
      </c>
      <c r="D66" s="1" t="s">
        <v>19</v>
      </c>
      <c r="E66" s="6" t="s">
        <v>10</v>
      </c>
      <c r="F66" s="6" t="str">
        <f>VLOOKUP(E66,'2. Productos'!$C$4:F70,2,0)</f>
        <v>Miel natural</v>
      </c>
      <c r="G66" s="6" t="str">
        <f>VLOOKUP(E66,'2. Productos'!$C$4:F70,3,0)</f>
        <v>Apícola</v>
      </c>
      <c r="H66" s="6" t="str">
        <f>VLOOKUP(J66,'3. Mercados'!$C$4:$F$9,2,0)</f>
        <v>Centroamérica</v>
      </c>
      <c r="I66" s="11">
        <f>VLOOKUP(J66,'3. Mercados'!$C$4:$F$9,3,0)</f>
        <v>0.02</v>
      </c>
      <c r="J66" s="1" t="s">
        <v>21</v>
      </c>
      <c r="K66" s="1" t="str">
        <f>VLOOKUP(J66,'3. Mercados'!$C$4:$F$9,4,0)</f>
        <v>Estratégico</v>
      </c>
      <c r="L66" s="1">
        <v>860</v>
      </c>
      <c r="M66" s="1">
        <v>4.8</v>
      </c>
      <c r="N66" s="12">
        <f t="shared" si="0"/>
        <v>4128</v>
      </c>
      <c r="O66" s="1">
        <v>3.2</v>
      </c>
      <c r="P66" s="12">
        <f t="shared" si="1"/>
        <v>2752</v>
      </c>
      <c r="Q66" s="9" t="s">
        <v>17</v>
      </c>
      <c r="R66" s="14">
        <f t="shared" si="2"/>
        <v>1376</v>
      </c>
      <c r="S66" s="15">
        <f t="shared" si="3"/>
        <v>0.33333333333333331</v>
      </c>
      <c r="T66" s="9" t="str">
        <f t="shared" si="4"/>
        <v>Alta</v>
      </c>
    </row>
    <row r="67" spans="2:20" x14ac:dyDescent="0.25">
      <c r="B67" s="1" t="s">
        <v>114</v>
      </c>
      <c r="C67" s="8">
        <v>46190</v>
      </c>
      <c r="D67" s="1" t="s">
        <v>23</v>
      </c>
      <c r="E67" s="6" t="s">
        <v>24</v>
      </c>
      <c r="F67" s="6" t="str">
        <f>VLOOKUP(E67,'2. Productos'!$C$4:F71,2,0)</f>
        <v>Cacao en grano</v>
      </c>
      <c r="G67" s="6" t="str">
        <f>VLOOKUP(E67,'2. Productos'!$C$4:F71,3,0)</f>
        <v>Cacao</v>
      </c>
      <c r="H67" s="6" t="str">
        <f>VLOOKUP(J67,'3. Mercados'!$C$4:$F$9,2,0)</f>
        <v>Europa</v>
      </c>
      <c r="I67" s="11">
        <f>VLOOKUP(J67,'3. Mercados'!$C$4:$F$9,3,0)</f>
        <v>0.1</v>
      </c>
      <c r="J67" s="1" t="s">
        <v>25</v>
      </c>
      <c r="K67" s="1" t="str">
        <f>VLOOKUP(J67,'3. Mercados'!$C$4:$F$9,4,0)</f>
        <v>Potencial</v>
      </c>
      <c r="L67" s="1">
        <v>1040</v>
      </c>
      <c r="M67" s="1">
        <v>7.1</v>
      </c>
      <c r="N67" s="12">
        <f t="shared" si="0"/>
        <v>7384</v>
      </c>
      <c r="O67" s="1">
        <v>4.8</v>
      </c>
      <c r="P67" s="12">
        <f t="shared" si="1"/>
        <v>4992</v>
      </c>
      <c r="Q67" s="9" t="s">
        <v>12</v>
      </c>
      <c r="R67" s="14">
        <f t="shared" si="2"/>
        <v>2392</v>
      </c>
      <c r="S67" s="15">
        <f t="shared" si="3"/>
        <v>0.323943661971831</v>
      </c>
      <c r="T67" s="9" t="str">
        <f t="shared" si="4"/>
        <v>Alta</v>
      </c>
    </row>
    <row r="68" spans="2:20" x14ac:dyDescent="0.25">
      <c r="B68" s="1" t="s">
        <v>115</v>
      </c>
      <c r="C68" s="8">
        <v>46199</v>
      </c>
      <c r="D68" s="1" t="s">
        <v>28</v>
      </c>
      <c r="E68" s="6" t="s">
        <v>15</v>
      </c>
      <c r="F68" s="6" t="str">
        <f>VLOOKUP(E68,'2. Productos'!$C$4:F72,2,0)</f>
        <v>Café especial</v>
      </c>
      <c r="G68" s="6" t="str">
        <f>VLOOKUP(E68,'2. Productos'!$C$4:F72,3,0)</f>
        <v>Café</v>
      </c>
      <c r="H68" s="6" t="str">
        <f>VLOOKUP(J68,'3. Mercados'!$C$4:$F$9,2,0)</f>
        <v>Norteamérica</v>
      </c>
      <c r="I68" s="11">
        <f>VLOOKUP(J68,'3. Mercados'!$C$4:$F$9,3,0)</f>
        <v>0.08</v>
      </c>
      <c r="J68" s="1" t="s">
        <v>30</v>
      </c>
      <c r="K68" s="1" t="str">
        <f>VLOOKUP(J68,'3. Mercados'!$C$4:$F$9,4,0)</f>
        <v>Potencial</v>
      </c>
      <c r="L68" s="1">
        <v>890</v>
      </c>
      <c r="M68" s="1">
        <v>6.5</v>
      </c>
      <c r="N68" s="12">
        <f t="shared" si="0"/>
        <v>5785</v>
      </c>
      <c r="O68" s="1">
        <v>4.0999999999999996</v>
      </c>
      <c r="P68" s="12">
        <f t="shared" si="1"/>
        <v>3648.9999999999995</v>
      </c>
      <c r="Q68" s="9" t="s">
        <v>26</v>
      </c>
      <c r="R68" s="14">
        <f t="shared" si="2"/>
        <v>2136.0000000000005</v>
      </c>
      <c r="S68" s="15">
        <f t="shared" si="3"/>
        <v>0.36923076923076931</v>
      </c>
      <c r="T68" s="9" t="str">
        <f t="shared" si="4"/>
        <v>Alta</v>
      </c>
    </row>
    <row r="69" spans="2:20" x14ac:dyDescent="0.25">
      <c r="B69" s="1" t="s">
        <v>116</v>
      </c>
      <c r="C69" s="8">
        <v>46208</v>
      </c>
      <c r="D69" s="1" t="s">
        <v>14</v>
      </c>
      <c r="E69" s="6" t="s">
        <v>20</v>
      </c>
      <c r="F69" s="6" t="str">
        <f>VLOOKUP(E69,'2. Productos'!$C$4:F73,2,0)</f>
        <v>Maní procesado</v>
      </c>
      <c r="G69" s="6" t="str">
        <f>VLOOKUP(E69,'2. Productos'!$C$4:F73,3,0)</f>
        <v>Semillas</v>
      </c>
      <c r="H69" s="6" t="str">
        <f>VLOOKUP(J69,'3. Mercados'!$C$4:$F$9,2,0)</f>
        <v>Norteamérica</v>
      </c>
      <c r="I69" s="11">
        <f>VLOOKUP(J69,'3. Mercados'!$C$4:$F$9,3,0)</f>
        <v>0.05</v>
      </c>
      <c r="J69" s="1" t="s">
        <v>16</v>
      </c>
      <c r="K69" s="1" t="str">
        <f>VLOOKUP(J69,'3. Mercados'!$C$4:$F$9,4,0)</f>
        <v>Estratégico</v>
      </c>
      <c r="L69" s="1">
        <v>1170</v>
      </c>
      <c r="M69" s="1">
        <v>8.1999999999999993</v>
      </c>
      <c r="N69" s="12">
        <f t="shared" ref="N69:N103" si="5">+L69*M69</f>
        <v>9594</v>
      </c>
      <c r="O69" s="1">
        <v>5.9</v>
      </c>
      <c r="P69" s="12">
        <f t="shared" ref="P69:P103" si="6">+L69*O69</f>
        <v>6903</v>
      </c>
      <c r="Q69" s="9" t="s">
        <v>17</v>
      </c>
      <c r="R69" s="14">
        <f t="shared" ref="R69:R103" si="7">+N69-P69</f>
        <v>2691</v>
      </c>
      <c r="S69" s="15">
        <f t="shared" ref="S69:S103" si="8">+R69/N69</f>
        <v>0.28048780487804881</v>
      </c>
      <c r="T69" s="9" t="str">
        <f t="shared" ref="T69:T103" si="9">IF(S69&lt;=15%, "Baja", IF(S69&lt;=29%, "Mediana", "Alta"))</f>
        <v>Mediana</v>
      </c>
    </row>
    <row r="70" spans="2:20" x14ac:dyDescent="0.25">
      <c r="B70" s="1" t="s">
        <v>117</v>
      </c>
      <c r="C70" s="8">
        <v>46217</v>
      </c>
      <c r="D70" s="1" t="s">
        <v>9</v>
      </c>
      <c r="E70" s="6" t="s">
        <v>10</v>
      </c>
      <c r="F70" s="6" t="str">
        <f>VLOOKUP(E70,'2. Productos'!$C$4:F74,2,0)</f>
        <v>Miel natural</v>
      </c>
      <c r="G70" s="6" t="str">
        <f>VLOOKUP(E70,'2. Productos'!$C$4:F74,3,0)</f>
        <v>Apícola</v>
      </c>
      <c r="H70" s="6" t="str">
        <f>VLOOKUP(J70,'3. Mercados'!$C$4:$F$9,2,0)</f>
        <v>Centroamérica</v>
      </c>
      <c r="I70" s="11">
        <f>VLOOKUP(J70,'3. Mercados'!$C$4:$F$9,3,0)</f>
        <v>0.03</v>
      </c>
      <c r="J70" s="1" t="s">
        <v>11</v>
      </c>
      <c r="K70" s="1" t="str">
        <f>VLOOKUP(J70,'3. Mercados'!$C$4:$F$9,4,0)</f>
        <v>Estratégico</v>
      </c>
      <c r="L70" s="1">
        <v>760</v>
      </c>
      <c r="M70" s="1">
        <v>4.8</v>
      </c>
      <c r="N70" s="12">
        <f t="shared" si="5"/>
        <v>3648</v>
      </c>
      <c r="O70" s="1">
        <v>3.2</v>
      </c>
      <c r="P70" s="12">
        <f t="shared" si="6"/>
        <v>2432</v>
      </c>
      <c r="Q70" s="9" t="s">
        <v>12</v>
      </c>
      <c r="R70" s="14">
        <f t="shared" si="7"/>
        <v>1216</v>
      </c>
      <c r="S70" s="15">
        <f t="shared" si="8"/>
        <v>0.33333333333333331</v>
      </c>
      <c r="T70" s="9" t="str">
        <f t="shared" si="9"/>
        <v>Alta</v>
      </c>
    </row>
    <row r="71" spans="2:20" x14ac:dyDescent="0.25">
      <c r="B71" s="1" t="s">
        <v>118</v>
      </c>
      <c r="C71" s="8">
        <v>46226</v>
      </c>
      <c r="D71" s="1" t="s">
        <v>19</v>
      </c>
      <c r="E71" s="6" t="s">
        <v>29</v>
      </c>
      <c r="F71" s="6" t="str">
        <f>VLOOKUP(E71,'2. Productos'!$C$4:F75,2,0)</f>
        <v>Aceite de ajonjolí</v>
      </c>
      <c r="G71" s="6" t="str">
        <f>VLOOKUP(E71,'2. Productos'!$C$4:F75,3,0)</f>
        <v>Aceites</v>
      </c>
      <c r="H71" s="6" t="str">
        <f>VLOOKUP(J71,'3. Mercados'!$C$4:$F$9,2,0)</f>
        <v>Centroamérica</v>
      </c>
      <c r="I71" s="11">
        <f>VLOOKUP(J71,'3. Mercados'!$C$4:$F$9,3,0)</f>
        <v>0.02</v>
      </c>
      <c r="J71" s="1" t="s">
        <v>21</v>
      </c>
      <c r="K71" s="1" t="str">
        <f>VLOOKUP(J71,'3. Mercados'!$C$4:$F$9,4,0)</f>
        <v>Estratégico</v>
      </c>
      <c r="L71" s="1">
        <v>540</v>
      </c>
      <c r="M71" s="1">
        <v>12.5</v>
      </c>
      <c r="N71" s="12">
        <f t="shared" si="5"/>
        <v>6750</v>
      </c>
      <c r="O71" s="1">
        <v>8.6999999999999993</v>
      </c>
      <c r="P71" s="12">
        <f t="shared" si="6"/>
        <v>4698</v>
      </c>
      <c r="Q71" s="9" t="s">
        <v>17</v>
      </c>
      <c r="R71" s="14">
        <f t="shared" si="7"/>
        <v>2052</v>
      </c>
      <c r="S71" s="15">
        <f t="shared" si="8"/>
        <v>0.30399999999999999</v>
      </c>
      <c r="T71" s="9" t="str">
        <f t="shared" si="9"/>
        <v>Alta</v>
      </c>
    </row>
    <row r="72" spans="2:20" x14ac:dyDescent="0.25">
      <c r="B72" s="1" t="s">
        <v>119</v>
      </c>
      <c r="C72" s="8">
        <v>46235</v>
      </c>
      <c r="D72" s="1" t="s">
        <v>23</v>
      </c>
      <c r="E72" s="6" t="s">
        <v>15</v>
      </c>
      <c r="F72" s="6" t="str">
        <f>VLOOKUP(E72,'2. Productos'!$C$4:F76,2,0)</f>
        <v>Café especial</v>
      </c>
      <c r="G72" s="6" t="str">
        <f>VLOOKUP(E72,'2. Productos'!$C$4:F76,3,0)</f>
        <v>Café</v>
      </c>
      <c r="H72" s="6" t="str">
        <f>VLOOKUP(J72,'3. Mercados'!$C$4:$F$9,2,0)</f>
        <v>Europa</v>
      </c>
      <c r="I72" s="11">
        <f>VLOOKUP(J72,'3. Mercados'!$C$4:$F$9,3,0)</f>
        <v>0.1</v>
      </c>
      <c r="J72" s="1" t="s">
        <v>25</v>
      </c>
      <c r="K72" s="1" t="str">
        <f>VLOOKUP(J72,'3. Mercados'!$C$4:$F$9,4,0)</f>
        <v>Potencial</v>
      </c>
      <c r="L72" s="1">
        <v>1280</v>
      </c>
      <c r="M72" s="1">
        <v>6.5</v>
      </c>
      <c r="N72" s="12">
        <f t="shared" si="5"/>
        <v>8320</v>
      </c>
      <c r="O72" s="1">
        <v>4.0999999999999996</v>
      </c>
      <c r="P72" s="12">
        <f t="shared" si="6"/>
        <v>5248</v>
      </c>
      <c r="Q72" s="9" t="s">
        <v>12</v>
      </c>
      <c r="R72" s="14">
        <f t="shared" si="7"/>
        <v>3072</v>
      </c>
      <c r="S72" s="15">
        <f t="shared" si="8"/>
        <v>0.36923076923076925</v>
      </c>
      <c r="T72" s="9" t="str">
        <f t="shared" si="9"/>
        <v>Alta</v>
      </c>
    </row>
    <row r="73" spans="2:20" x14ac:dyDescent="0.25">
      <c r="B73" s="1" t="s">
        <v>120</v>
      </c>
      <c r="C73" s="8">
        <v>46244</v>
      </c>
      <c r="D73" s="1" t="s">
        <v>28</v>
      </c>
      <c r="E73" s="6" t="s">
        <v>24</v>
      </c>
      <c r="F73" s="6" t="str">
        <f>VLOOKUP(E73,'2. Productos'!$C$4:F77,2,0)</f>
        <v>Cacao en grano</v>
      </c>
      <c r="G73" s="6" t="str">
        <f>VLOOKUP(E73,'2. Productos'!$C$4:F77,3,0)</f>
        <v>Cacao</v>
      </c>
      <c r="H73" s="6" t="str">
        <f>VLOOKUP(J73,'3. Mercados'!$C$4:$F$9,2,0)</f>
        <v>Norteamérica</v>
      </c>
      <c r="I73" s="11">
        <f>VLOOKUP(J73,'3. Mercados'!$C$4:$F$9,3,0)</f>
        <v>0.08</v>
      </c>
      <c r="J73" s="1" t="s">
        <v>30</v>
      </c>
      <c r="K73" s="1" t="str">
        <f>VLOOKUP(J73,'3. Mercados'!$C$4:$F$9,4,0)</f>
        <v>Potencial</v>
      </c>
      <c r="L73" s="1">
        <v>930</v>
      </c>
      <c r="M73" s="1">
        <v>7.1</v>
      </c>
      <c r="N73" s="12">
        <f t="shared" si="5"/>
        <v>6603</v>
      </c>
      <c r="O73" s="1">
        <v>4.8</v>
      </c>
      <c r="P73" s="12">
        <f t="shared" si="6"/>
        <v>4464</v>
      </c>
      <c r="Q73" s="9" t="s">
        <v>17</v>
      </c>
      <c r="R73" s="14">
        <f t="shared" si="7"/>
        <v>2139</v>
      </c>
      <c r="S73" s="15">
        <f t="shared" si="8"/>
        <v>0.323943661971831</v>
      </c>
      <c r="T73" s="9" t="str">
        <f t="shared" si="9"/>
        <v>Alta</v>
      </c>
    </row>
    <row r="74" spans="2:20" x14ac:dyDescent="0.25">
      <c r="B74" s="1" t="s">
        <v>121</v>
      </c>
      <c r="C74" s="8">
        <v>46253</v>
      </c>
      <c r="D74" s="1" t="s">
        <v>14</v>
      </c>
      <c r="E74" s="6" t="s">
        <v>10</v>
      </c>
      <c r="F74" s="6" t="str">
        <f>VLOOKUP(E74,'2. Productos'!$C$4:F78,2,0)</f>
        <v>Miel natural</v>
      </c>
      <c r="G74" s="6" t="str">
        <f>VLOOKUP(E74,'2. Productos'!$C$4:F78,3,0)</f>
        <v>Apícola</v>
      </c>
      <c r="H74" s="6" t="str">
        <f>VLOOKUP(J74,'3. Mercados'!$C$4:$F$9,2,0)</f>
        <v>Norteamérica</v>
      </c>
      <c r="I74" s="11">
        <f>VLOOKUP(J74,'3. Mercados'!$C$4:$F$9,3,0)</f>
        <v>0.05</v>
      </c>
      <c r="J74" s="1" t="s">
        <v>16</v>
      </c>
      <c r="K74" s="1" t="str">
        <f>VLOOKUP(J74,'3. Mercados'!$C$4:$F$9,4,0)</f>
        <v>Estratégico</v>
      </c>
      <c r="L74" s="1">
        <v>1550</v>
      </c>
      <c r="M74" s="1">
        <v>4.8</v>
      </c>
      <c r="N74" s="12">
        <f t="shared" si="5"/>
        <v>7440</v>
      </c>
      <c r="O74" s="1">
        <v>3.2</v>
      </c>
      <c r="P74" s="12">
        <f t="shared" si="6"/>
        <v>4960</v>
      </c>
      <c r="Q74" s="9" t="s">
        <v>17</v>
      </c>
      <c r="R74" s="14">
        <f t="shared" si="7"/>
        <v>2480</v>
      </c>
      <c r="S74" s="15">
        <f t="shared" si="8"/>
        <v>0.33333333333333331</v>
      </c>
      <c r="T74" s="9" t="str">
        <f t="shared" si="9"/>
        <v>Alta</v>
      </c>
    </row>
    <row r="75" spans="2:20" x14ac:dyDescent="0.25">
      <c r="B75" s="1" t="s">
        <v>122</v>
      </c>
      <c r="C75" s="8">
        <v>46262</v>
      </c>
      <c r="D75" s="1" t="s">
        <v>9</v>
      </c>
      <c r="E75" s="6" t="s">
        <v>20</v>
      </c>
      <c r="F75" s="6" t="str">
        <f>VLOOKUP(E75,'2. Productos'!$C$4:F79,2,0)</f>
        <v>Maní procesado</v>
      </c>
      <c r="G75" s="6" t="str">
        <f>VLOOKUP(E75,'2. Productos'!$C$4:F79,3,0)</f>
        <v>Semillas</v>
      </c>
      <c r="H75" s="6" t="str">
        <f>VLOOKUP(J75,'3. Mercados'!$C$4:$F$9,2,0)</f>
        <v>Centroamérica</v>
      </c>
      <c r="I75" s="11">
        <f>VLOOKUP(J75,'3. Mercados'!$C$4:$F$9,3,0)</f>
        <v>0.03</v>
      </c>
      <c r="J75" s="1" t="s">
        <v>11</v>
      </c>
      <c r="K75" s="1" t="str">
        <f>VLOOKUP(J75,'3. Mercados'!$C$4:$F$9,4,0)</f>
        <v>Estratégico</v>
      </c>
      <c r="L75" s="1">
        <v>690</v>
      </c>
      <c r="M75" s="1">
        <v>8.1999999999999993</v>
      </c>
      <c r="N75" s="12">
        <f t="shared" si="5"/>
        <v>5657.9999999999991</v>
      </c>
      <c r="O75" s="1">
        <v>5.9</v>
      </c>
      <c r="P75" s="12">
        <f t="shared" si="6"/>
        <v>4071.0000000000005</v>
      </c>
      <c r="Q75" s="9" t="s">
        <v>26</v>
      </c>
      <c r="R75" s="14">
        <f t="shared" si="7"/>
        <v>1586.9999999999986</v>
      </c>
      <c r="S75" s="15">
        <f t="shared" si="8"/>
        <v>0.28048780487804859</v>
      </c>
      <c r="T75" s="9" t="str">
        <f t="shared" si="9"/>
        <v>Mediana</v>
      </c>
    </row>
    <row r="76" spans="2:20" x14ac:dyDescent="0.25">
      <c r="B76" s="1" t="s">
        <v>123</v>
      </c>
      <c r="C76" s="8">
        <v>46271</v>
      </c>
      <c r="D76" s="1" t="s">
        <v>19</v>
      </c>
      <c r="E76" s="6" t="s">
        <v>15</v>
      </c>
      <c r="F76" s="6" t="str">
        <f>VLOOKUP(E76,'2. Productos'!$C$4:F80,2,0)</f>
        <v>Café especial</v>
      </c>
      <c r="G76" s="6" t="str">
        <f>VLOOKUP(E76,'2. Productos'!$C$4:F80,3,0)</f>
        <v>Café</v>
      </c>
      <c r="H76" s="6" t="str">
        <f>VLOOKUP(J76,'3. Mercados'!$C$4:$F$9,2,0)</f>
        <v>Centroamérica</v>
      </c>
      <c r="I76" s="11">
        <f>VLOOKUP(J76,'3. Mercados'!$C$4:$F$9,3,0)</f>
        <v>0.02</v>
      </c>
      <c r="J76" s="1" t="s">
        <v>21</v>
      </c>
      <c r="K76" s="1" t="str">
        <f>VLOOKUP(J76,'3. Mercados'!$C$4:$F$9,4,0)</f>
        <v>Estratégico</v>
      </c>
      <c r="L76" s="1">
        <v>1020</v>
      </c>
      <c r="M76" s="1">
        <v>6.5</v>
      </c>
      <c r="N76" s="12">
        <f t="shared" si="5"/>
        <v>6630</v>
      </c>
      <c r="O76" s="1">
        <v>4.0999999999999996</v>
      </c>
      <c r="P76" s="12">
        <f t="shared" si="6"/>
        <v>4182</v>
      </c>
      <c r="Q76" s="9" t="s">
        <v>12</v>
      </c>
      <c r="R76" s="14">
        <f t="shared" si="7"/>
        <v>2448</v>
      </c>
      <c r="S76" s="15">
        <f t="shared" si="8"/>
        <v>0.36923076923076925</v>
      </c>
      <c r="T76" s="9" t="str">
        <f t="shared" si="9"/>
        <v>Alta</v>
      </c>
    </row>
    <row r="77" spans="2:20" x14ac:dyDescent="0.25">
      <c r="B77" s="1" t="s">
        <v>124</v>
      </c>
      <c r="C77" s="8">
        <v>46280</v>
      </c>
      <c r="D77" s="1" t="s">
        <v>23</v>
      </c>
      <c r="E77" s="6" t="s">
        <v>29</v>
      </c>
      <c r="F77" s="6" t="str">
        <f>VLOOKUP(E77,'2. Productos'!$C$4:F81,2,0)</f>
        <v>Aceite de ajonjolí</v>
      </c>
      <c r="G77" s="6" t="str">
        <f>VLOOKUP(E77,'2. Productos'!$C$4:F81,3,0)</f>
        <v>Aceites</v>
      </c>
      <c r="H77" s="6" t="str">
        <f>VLOOKUP(J77,'3. Mercados'!$C$4:$F$9,2,0)</f>
        <v>Europa</v>
      </c>
      <c r="I77" s="11">
        <f>VLOOKUP(J77,'3. Mercados'!$C$4:$F$9,3,0)</f>
        <v>0.1</v>
      </c>
      <c r="J77" s="1" t="s">
        <v>25</v>
      </c>
      <c r="K77" s="1" t="str">
        <f>VLOOKUP(J77,'3. Mercados'!$C$4:$F$9,4,0)</f>
        <v>Potencial</v>
      </c>
      <c r="L77" s="1">
        <v>610</v>
      </c>
      <c r="M77" s="1">
        <v>12.5</v>
      </c>
      <c r="N77" s="12">
        <f t="shared" si="5"/>
        <v>7625</v>
      </c>
      <c r="O77" s="1">
        <v>8.6999999999999993</v>
      </c>
      <c r="P77" s="12">
        <f t="shared" si="6"/>
        <v>5307</v>
      </c>
      <c r="Q77" s="9" t="s">
        <v>17</v>
      </c>
      <c r="R77" s="14">
        <f t="shared" si="7"/>
        <v>2318</v>
      </c>
      <c r="S77" s="15">
        <f t="shared" si="8"/>
        <v>0.30399999999999999</v>
      </c>
      <c r="T77" s="9" t="str">
        <f t="shared" si="9"/>
        <v>Alta</v>
      </c>
    </row>
    <row r="78" spans="2:20" x14ac:dyDescent="0.25">
      <c r="B78" s="1" t="s">
        <v>125</v>
      </c>
      <c r="C78" s="8">
        <v>46289</v>
      </c>
      <c r="D78" s="1" t="s">
        <v>28</v>
      </c>
      <c r="E78" s="6" t="s">
        <v>10</v>
      </c>
      <c r="F78" s="6" t="str">
        <f>VLOOKUP(E78,'2. Productos'!$C$4:F82,2,0)</f>
        <v>Miel natural</v>
      </c>
      <c r="G78" s="6" t="str">
        <f>VLOOKUP(E78,'2. Productos'!$C$4:F82,3,0)</f>
        <v>Apícola</v>
      </c>
      <c r="H78" s="6" t="str">
        <f>VLOOKUP(J78,'3. Mercados'!$C$4:$F$9,2,0)</f>
        <v>Norteamérica</v>
      </c>
      <c r="I78" s="11">
        <f>VLOOKUP(J78,'3. Mercados'!$C$4:$F$9,3,0)</f>
        <v>0.08</v>
      </c>
      <c r="J78" s="1" t="s">
        <v>30</v>
      </c>
      <c r="K78" s="1" t="str">
        <f>VLOOKUP(J78,'3. Mercados'!$C$4:$F$9,4,0)</f>
        <v>Potencial</v>
      </c>
      <c r="L78" s="1">
        <v>840</v>
      </c>
      <c r="M78" s="1">
        <v>4.8</v>
      </c>
      <c r="N78" s="12">
        <f t="shared" si="5"/>
        <v>4032</v>
      </c>
      <c r="O78" s="1">
        <v>3.2</v>
      </c>
      <c r="P78" s="12">
        <f t="shared" si="6"/>
        <v>2688</v>
      </c>
      <c r="Q78" s="9" t="s">
        <v>12</v>
      </c>
      <c r="R78" s="14">
        <f t="shared" si="7"/>
        <v>1344</v>
      </c>
      <c r="S78" s="15">
        <f t="shared" si="8"/>
        <v>0.33333333333333331</v>
      </c>
      <c r="T78" s="9" t="str">
        <f t="shared" si="9"/>
        <v>Alta</v>
      </c>
    </row>
    <row r="79" spans="2:20" x14ac:dyDescent="0.25">
      <c r="B79" s="1" t="s">
        <v>126</v>
      </c>
      <c r="C79" s="8">
        <v>46298</v>
      </c>
      <c r="D79" s="1" t="s">
        <v>14</v>
      </c>
      <c r="E79" s="6" t="s">
        <v>24</v>
      </c>
      <c r="F79" s="6" t="str">
        <f>VLOOKUP(E79,'2. Productos'!$C$4:F83,2,0)</f>
        <v>Cacao en grano</v>
      </c>
      <c r="G79" s="6" t="str">
        <f>VLOOKUP(E79,'2. Productos'!$C$4:F83,3,0)</f>
        <v>Cacao</v>
      </c>
      <c r="H79" s="6" t="str">
        <f>VLOOKUP(J79,'3. Mercados'!$C$4:$F$9,2,0)</f>
        <v>Norteamérica</v>
      </c>
      <c r="I79" s="11">
        <f>VLOOKUP(J79,'3. Mercados'!$C$4:$F$9,3,0)</f>
        <v>0.05</v>
      </c>
      <c r="J79" s="1" t="s">
        <v>16</v>
      </c>
      <c r="K79" s="1" t="str">
        <f>VLOOKUP(J79,'3. Mercados'!$C$4:$F$9,4,0)</f>
        <v>Estratégico</v>
      </c>
      <c r="L79" s="1">
        <v>1210</v>
      </c>
      <c r="M79" s="1">
        <v>7.1</v>
      </c>
      <c r="N79" s="12">
        <f t="shared" si="5"/>
        <v>8591</v>
      </c>
      <c r="O79" s="1">
        <v>4.8</v>
      </c>
      <c r="P79" s="12">
        <f t="shared" si="6"/>
        <v>5808</v>
      </c>
      <c r="Q79" s="9" t="s">
        <v>17</v>
      </c>
      <c r="R79" s="14">
        <f t="shared" si="7"/>
        <v>2783</v>
      </c>
      <c r="S79" s="15">
        <f t="shared" si="8"/>
        <v>0.323943661971831</v>
      </c>
      <c r="T79" s="9" t="str">
        <f t="shared" si="9"/>
        <v>Alta</v>
      </c>
    </row>
    <row r="80" spans="2:20" x14ac:dyDescent="0.25">
      <c r="B80" s="1" t="s">
        <v>127</v>
      </c>
      <c r="C80" s="8">
        <v>46307</v>
      </c>
      <c r="D80" s="1" t="s">
        <v>9</v>
      </c>
      <c r="E80" s="6" t="s">
        <v>15</v>
      </c>
      <c r="F80" s="6" t="str">
        <f>VLOOKUP(E80,'2. Productos'!$C$4:F84,2,0)</f>
        <v>Café especial</v>
      </c>
      <c r="G80" s="6" t="str">
        <f>VLOOKUP(E80,'2. Productos'!$C$4:F84,3,0)</f>
        <v>Café</v>
      </c>
      <c r="H80" s="6" t="str">
        <f>VLOOKUP(J80,'3. Mercados'!$C$4:$F$9,2,0)</f>
        <v>Centroamérica</v>
      </c>
      <c r="I80" s="11">
        <f>VLOOKUP(J80,'3. Mercados'!$C$4:$F$9,3,0)</f>
        <v>0.03</v>
      </c>
      <c r="J80" s="1" t="s">
        <v>11</v>
      </c>
      <c r="K80" s="1" t="str">
        <f>VLOOKUP(J80,'3. Mercados'!$C$4:$F$9,4,0)</f>
        <v>Estratégico</v>
      </c>
      <c r="L80" s="1">
        <v>1080</v>
      </c>
      <c r="M80" s="1">
        <v>6.5</v>
      </c>
      <c r="N80" s="12">
        <f t="shared" si="5"/>
        <v>7020</v>
      </c>
      <c r="O80" s="1">
        <v>4.0999999999999996</v>
      </c>
      <c r="P80" s="12">
        <f t="shared" si="6"/>
        <v>4428</v>
      </c>
      <c r="Q80" s="9" t="s">
        <v>17</v>
      </c>
      <c r="R80" s="14">
        <f t="shared" si="7"/>
        <v>2592</v>
      </c>
      <c r="S80" s="15">
        <f t="shared" si="8"/>
        <v>0.36923076923076925</v>
      </c>
      <c r="T80" s="9" t="str">
        <f t="shared" si="9"/>
        <v>Alta</v>
      </c>
    </row>
    <row r="81" spans="2:20" x14ac:dyDescent="0.25">
      <c r="B81" s="1" t="s">
        <v>128</v>
      </c>
      <c r="C81" s="8">
        <v>46316</v>
      </c>
      <c r="D81" s="1" t="s">
        <v>19</v>
      </c>
      <c r="E81" s="6" t="s">
        <v>20</v>
      </c>
      <c r="F81" s="6" t="str">
        <f>VLOOKUP(E81,'2. Productos'!$C$4:F85,2,0)</f>
        <v>Maní procesado</v>
      </c>
      <c r="G81" s="6" t="str">
        <f>VLOOKUP(E81,'2. Productos'!$C$4:F85,3,0)</f>
        <v>Semillas</v>
      </c>
      <c r="H81" s="6" t="str">
        <f>VLOOKUP(J81,'3. Mercados'!$C$4:$F$9,2,0)</f>
        <v>Centroamérica</v>
      </c>
      <c r="I81" s="11">
        <f>VLOOKUP(J81,'3. Mercados'!$C$4:$F$9,3,0)</f>
        <v>0.02</v>
      </c>
      <c r="J81" s="1" t="s">
        <v>21</v>
      </c>
      <c r="K81" s="1" t="str">
        <f>VLOOKUP(J81,'3. Mercados'!$C$4:$F$9,4,0)</f>
        <v>Estratégico</v>
      </c>
      <c r="L81" s="1">
        <v>720</v>
      </c>
      <c r="M81" s="1">
        <v>8.1999999999999993</v>
      </c>
      <c r="N81" s="12">
        <f t="shared" si="5"/>
        <v>5903.9999999999991</v>
      </c>
      <c r="O81" s="1">
        <v>5.9</v>
      </c>
      <c r="P81" s="12">
        <f t="shared" si="6"/>
        <v>4248</v>
      </c>
      <c r="Q81" s="9" t="s">
        <v>12</v>
      </c>
      <c r="R81" s="14">
        <f t="shared" si="7"/>
        <v>1655.9999999999991</v>
      </c>
      <c r="S81" s="15">
        <f t="shared" si="8"/>
        <v>0.2804878048780487</v>
      </c>
      <c r="T81" s="9" t="str">
        <f t="shared" si="9"/>
        <v>Mediana</v>
      </c>
    </row>
    <row r="82" spans="2:20" x14ac:dyDescent="0.25">
      <c r="B82" s="1" t="s">
        <v>129</v>
      </c>
      <c r="C82" s="8">
        <v>46325</v>
      </c>
      <c r="D82" s="1" t="s">
        <v>23</v>
      </c>
      <c r="E82" s="6" t="s">
        <v>10</v>
      </c>
      <c r="F82" s="6" t="str">
        <f>VLOOKUP(E82,'2. Productos'!$C$4:F86,2,0)</f>
        <v>Miel natural</v>
      </c>
      <c r="G82" s="6" t="str">
        <f>VLOOKUP(E82,'2. Productos'!$C$4:F86,3,0)</f>
        <v>Apícola</v>
      </c>
      <c r="H82" s="6" t="str">
        <f>VLOOKUP(J82,'3. Mercados'!$C$4:$F$9,2,0)</f>
        <v>Europa</v>
      </c>
      <c r="I82" s="11">
        <f>VLOOKUP(J82,'3. Mercados'!$C$4:$F$9,3,0)</f>
        <v>0.1</v>
      </c>
      <c r="J82" s="1" t="s">
        <v>25</v>
      </c>
      <c r="K82" s="1" t="str">
        <f>VLOOKUP(J82,'3. Mercados'!$C$4:$F$9,4,0)</f>
        <v>Potencial</v>
      </c>
      <c r="L82" s="1">
        <v>1160</v>
      </c>
      <c r="M82" s="1">
        <v>4.8</v>
      </c>
      <c r="N82" s="12">
        <f t="shared" si="5"/>
        <v>5568</v>
      </c>
      <c r="O82" s="1">
        <v>3.2</v>
      </c>
      <c r="P82" s="12">
        <f t="shared" si="6"/>
        <v>3712</v>
      </c>
      <c r="Q82" s="9" t="s">
        <v>26</v>
      </c>
      <c r="R82" s="14">
        <f t="shared" si="7"/>
        <v>1856</v>
      </c>
      <c r="S82" s="15">
        <f t="shared" si="8"/>
        <v>0.33333333333333331</v>
      </c>
      <c r="T82" s="9" t="str">
        <f t="shared" si="9"/>
        <v>Alta</v>
      </c>
    </row>
    <row r="83" spans="2:20" x14ac:dyDescent="0.25">
      <c r="B83" s="1" t="s">
        <v>130</v>
      </c>
      <c r="C83" s="8">
        <v>46334</v>
      </c>
      <c r="D83" s="1" t="s">
        <v>28</v>
      </c>
      <c r="E83" s="6" t="s">
        <v>29</v>
      </c>
      <c r="F83" s="6" t="str">
        <f>VLOOKUP(E83,'2. Productos'!$C$4:F87,2,0)</f>
        <v>Aceite de ajonjolí</v>
      </c>
      <c r="G83" s="6" t="str">
        <f>VLOOKUP(E83,'2. Productos'!$C$4:F87,3,0)</f>
        <v>Aceites</v>
      </c>
      <c r="H83" s="6" t="str">
        <f>VLOOKUP(J83,'3. Mercados'!$C$4:$F$9,2,0)</f>
        <v>Norteamérica</v>
      </c>
      <c r="I83" s="11">
        <f>VLOOKUP(J83,'3. Mercados'!$C$4:$F$9,3,0)</f>
        <v>0.08</v>
      </c>
      <c r="J83" s="1" t="s">
        <v>30</v>
      </c>
      <c r="K83" s="1" t="str">
        <f>VLOOKUP(J83,'3. Mercados'!$C$4:$F$9,4,0)</f>
        <v>Potencial</v>
      </c>
      <c r="L83" s="1">
        <v>560</v>
      </c>
      <c r="M83" s="1">
        <v>12.5</v>
      </c>
      <c r="N83" s="12">
        <f t="shared" si="5"/>
        <v>7000</v>
      </c>
      <c r="O83" s="1">
        <v>8.6999999999999993</v>
      </c>
      <c r="P83" s="12">
        <f t="shared" si="6"/>
        <v>4872</v>
      </c>
      <c r="Q83" s="9" t="s">
        <v>17</v>
      </c>
      <c r="R83" s="14">
        <f t="shared" si="7"/>
        <v>2128</v>
      </c>
      <c r="S83" s="15">
        <f t="shared" si="8"/>
        <v>0.30399999999999999</v>
      </c>
      <c r="T83" s="9" t="str">
        <f t="shared" si="9"/>
        <v>Alta</v>
      </c>
    </row>
    <row r="84" spans="2:20" x14ac:dyDescent="0.25">
      <c r="B84" s="1" t="s">
        <v>131</v>
      </c>
      <c r="C84" s="8">
        <v>46343</v>
      </c>
      <c r="D84" s="1" t="s">
        <v>14</v>
      </c>
      <c r="E84" s="6" t="s">
        <v>15</v>
      </c>
      <c r="F84" s="6" t="str">
        <f>VLOOKUP(E84,'2. Productos'!$C$4:F88,2,0)</f>
        <v>Café especial</v>
      </c>
      <c r="G84" s="6" t="str">
        <f>VLOOKUP(E84,'2. Productos'!$C$4:F88,3,0)</f>
        <v>Café</v>
      </c>
      <c r="H84" s="6" t="str">
        <f>VLOOKUP(J84,'3. Mercados'!$C$4:$F$9,2,0)</f>
        <v>Norteamérica</v>
      </c>
      <c r="I84" s="11">
        <f>VLOOKUP(J84,'3. Mercados'!$C$4:$F$9,3,0)</f>
        <v>0.05</v>
      </c>
      <c r="J84" s="1" t="s">
        <v>16</v>
      </c>
      <c r="K84" s="1" t="str">
        <f>VLOOKUP(J84,'3. Mercados'!$C$4:$F$9,4,0)</f>
        <v>Estratégico</v>
      </c>
      <c r="L84" s="1">
        <v>1380</v>
      </c>
      <c r="M84" s="1">
        <v>6.5</v>
      </c>
      <c r="N84" s="12">
        <f t="shared" si="5"/>
        <v>8970</v>
      </c>
      <c r="O84" s="1">
        <v>4.0999999999999996</v>
      </c>
      <c r="P84" s="12">
        <f t="shared" si="6"/>
        <v>5657.9999999999991</v>
      </c>
      <c r="Q84" s="9" t="s">
        <v>12</v>
      </c>
      <c r="R84" s="14">
        <f t="shared" si="7"/>
        <v>3312.0000000000009</v>
      </c>
      <c r="S84" s="15">
        <f t="shared" si="8"/>
        <v>0.36923076923076931</v>
      </c>
      <c r="T84" s="9" t="str">
        <f t="shared" si="9"/>
        <v>Alta</v>
      </c>
    </row>
    <row r="85" spans="2:20" x14ac:dyDescent="0.25">
      <c r="B85" s="1" t="s">
        <v>132</v>
      </c>
      <c r="C85" s="8">
        <v>46352</v>
      </c>
      <c r="D85" s="1" t="s">
        <v>9</v>
      </c>
      <c r="E85" s="6" t="s">
        <v>24</v>
      </c>
      <c r="F85" s="6" t="str">
        <f>VLOOKUP(E85,'2. Productos'!$C$4:F89,2,0)</f>
        <v>Cacao en grano</v>
      </c>
      <c r="G85" s="6" t="str">
        <f>VLOOKUP(E85,'2. Productos'!$C$4:F89,3,0)</f>
        <v>Cacao</v>
      </c>
      <c r="H85" s="6" t="str">
        <f>VLOOKUP(J85,'3. Mercados'!$C$4:$F$9,2,0)</f>
        <v>Centroamérica</v>
      </c>
      <c r="I85" s="11">
        <f>VLOOKUP(J85,'3. Mercados'!$C$4:$F$9,3,0)</f>
        <v>0.03</v>
      </c>
      <c r="J85" s="1" t="s">
        <v>11</v>
      </c>
      <c r="K85" s="1" t="str">
        <f>VLOOKUP(J85,'3. Mercados'!$C$4:$F$9,4,0)</f>
        <v>Estratégico</v>
      </c>
      <c r="L85" s="1">
        <v>940</v>
      </c>
      <c r="M85" s="1">
        <v>7.1</v>
      </c>
      <c r="N85" s="12">
        <f t="shared" si="5"/>
        <v>6674</v>
      </c>
      <c r="O85" s="1">
        <v>4.8</v>
      </c>
      <c r="P85" s="12">
        <f t="shared" si="6"/>
        <v>4512</v>
      </c>
      <c r="Q85" s="9" t="s">
        <v>17</v>
      </c>
      <c r="R85" s="14">
        <f t="shared" si="7"/>
        <v>2162</v>
      </c>
      <c r="S85" s="15">
        <f t="shared" si="8"/>
        <v>0.323943661971831</v>
      </c>
      <c r="T85" s="9" t="str">
        <f t="shared" si="9"/>
        <v>Alta</v>
      </c>
    </row>
    <row r="86" spans="2:20" x14ac:dyDescent="0.25">
      <c r="B86" s="1" t="s">
        <v>133</v>
      </c>
      <c r="C86" s="8">
        <v>46361</v>
      </c>
      <c r="D86" s="1" t="s">
        <v>19</v>
      </c>
      <c r="E86" s="6" t="s">
        <v>10</v>
      </c>
      <c r="F86" s="6" t="str">
        <f>VLOOKUP(E86,'2. Productos'!$C$4:F90,2,0)</f>
        <v>Miel natural</v>
      </c>
      <c r="G86" s="6" t="str">
        <f>VLOOKUP(E86,'2. Productos'!$C$4:F90,3,0)</f>
        <v>Apícola</v>
      </c>
      <c r="H86" s="6" t="str">
        <f>VLOOKUP(J86,'3. Mercados'!$C$4:$F$9,2,0)</f>
        <v>Centroamérica</v>
      </c>
      <c r="I86" s="11">
        <f>VLOOKUP(J86,'3. Mercados'!$C$4:$F$9,3,0)</f>
        <v>0.02</v>
      </c>
      <c r="J86" s="1" t="s">
        <v>21</v>
      </c>
      <c r="K86" s="1" t="str">
        <f>VLOOKUP(J86,'3. Mercados'!$C$4:$F$9,4,0)</f>
        <v>Estratégico</v>
      </c>
      <c r="L86" s="1">
        <v>870</v>
      </c>
      <c r="M86" s="1">
        <v>4.8</v>
      </c>
      <c r="N86" s="12">
        <f t="shared" si="5"/>
        <v>4176</v>
      </c>
      <c r="O86" s="1">
        <v>3.2</v>
      </c>
      <c r="P86" s="12">
        <f t="shared" si="6"/>
        <v>2784</v>
      </c>
      <c r="Q86" s="9" t="s">
        <v>12</v>
      </c>
      <c r="R86" s="14">
        <f t="shared" si="7"/>
        <v>1392</v>
      </c>
      <c r="S86" s="15">
        <f t="shared" si="8"/>
        <v>0.33333333333333331</v>
      </c>
      <c r="T86" s="9" t="str">
        <f t="shared" si="9"/>
        <v>Alta</v>
      </c>
    </row>
    <row r="87" spans="2:20" x14ac:dyDescent="0.25">
      <c r="B87" s="1" t="s">
        <v>134</v>
      </c>
      <c r="C87" s="8">
        <v>46370</v>
      </c>
      <c r="D87" s="1" t="s">
        <v>23</v>
      </c>
      <c r="E87" s="6" t="s">
        <v>20</v>
      </c>
      <c r="F87" s="6" t="str">
        <f>VLOOKUP(E87,'2. Productos'!$C$4:F91,2,0)</f>
        <v>Maní procesado</v>
      </c>
      <c r="G87" s="6" t="str">
        <f>VLOOKUP(E87,'2. Productos'!$C$4:F91,3,0)</f>
        <v>Semillas</v>
      </c>
      <c r="H87" s="6" t="str">
        <f>VLOOKUP(J87,'3. Mercados'!$C$4:$F$9,2,0)</f>
        <v>Europa</v>
      </c>
      <c r="I87" s="11">
        <f>VLOOKUP(J87,'3. Mercados'!$C$4:$F$9,3,0)</f>
        <v>0.1</v>
      </c>
      <c r="J87" s="1" t="s">
        <v>25</v>
      </c>
      <c r="K87" s="1" t="str">
        <f>VLOOKUP(J87,'3. Mercados'!$C$4:$F$9,4,0)</f>
        <v>Potencial</v>
      </c>
      <c r="L87" s="1">
        <v>810</v>
      </c>
      <c r="M87" s="1">
        <v>8.1999999999999993</v>
      </c>
      <c r="N87" s="12">
        <f t="shared" si="5"/>
        <v>6641.9999999999991</v>
      </c>
      <c r="O87" s="1">
        <v>5.9</v>
      </c>
      <c r="P87" s="12">
        <f t="shared" si="6"/>
        <v>4779</v>
      </c>
      <c r="Q87" s="9" t="s">
        <v>17</v>
      </c>
      <c r="R87" s="14">
        <f t="shared" si="7"/>
        <v>1862.9999999999991</v>
      </c>
      <c r="S87" s="15">
        <f t="shared" si="8"/>
        <v>0.2804878048780487</v>
      </c>
      <c r="T87" s="9" t="str">
        <f t="shared" si="9"/>
        <v>Mediana</v>
      </c>
    </row>
    <row r="88" spans="2:20" x14ac:dyDescent="0.25">
      <c r="B88" s="1" t="s">
        <v>135</v>
      </c>
      <c r="C88" s="8">
        <v>46379</v>
      </c>
      <c r="D88" s="1" t="s">
        <v>28</v>
      </c>
      <c r="E88" s="6" t="s">
        <v>15</v>
      </c>
      <c r="F88" s="6" t="str">
        <f>VLOOKUP(E88,'2. Productos'!$C$4:F92,2,0)</f>
        <v>Café especial</v>
      </c>
      <c r="G88" s="6" t="str">
        <f>VLOOKUP(E88,'2. Productos'!$C$4:F92,3,0)</f>
        <v>Café</v>
      </c>
      <c r="H88" s="6" t="str">
        <f>VLOOKUP(J88,'3. Mercados'!$C$4:$F$9,2,0)</f>
        <v>Norteamérica</v>
      </c>
      <c r="I88" s="11">
        <f>VLOOKUP(J88,'3. Mercados'!$C$4:$F$9,3,0)</f>
        <v>0.08</v>
      </c>
      <c r="J88" s="1" t="s">
        <v>30</v>
      </c>
      <c r="K88" s="1" t="str">
        <f>VLOOKUP(J88,'3. Mercados'!$C$4:$F$9,4,0)</f>
        <v>Potencial</v>
      </c>
      <c r="L88" s="1">
        <v>990</v>
      </c>
      <c r="M88" s="1">
        <v>6.5</v>
      </c>
      <c r="N88" s="12">
        <f t="shared" si="5"/>
        <v>6435</v>
      </c>
      <c r="O88" s="1">
        <v>4.0999999999999996</v>
      </c>
      <c r="P88" s="12">
        <f t="shared" si="6"/>
        <v>4058.9999999999995</v>
      </c>
      <c r="Q88" s="9" t="s">
        <v>26</v>
      </c>
      <c r="R88" s="14">
        <f t="shared" si="7"/>
        <v>2376.0000000000005</v>
      </c>
      <c r="S88" s="15">
        <f t="shared" si="8"/>
        <v>0.36923076923076931</v>
      </c>
      <c r="T88" s="9" t="str">
        <f t="shared" si="9"/>
        <v>Alta</v>
      </c>
    </row>
    <row r="89" spans="2:20" x14ac:dyDescent="0.25">
      <c r="B89" s="1" t="s">
        <v>136</v>
      </c>
      <c r="C89" s="8">
        <v>46386</v>
      </c>
      <c r="D89" s="1" t="s">
        <v>14</v>
      </c>
      <c r="E89" s="6" t="s">
        <v>29</v>
      </c>
      <c r="F89" s="6" t="str">
        <f>VLOOKUP(E89,'2. Productos'!$C$4:F93,2,0)</f>
        <v>Aceite de ajonjolí</v>
      </c>
      <c r="G89" s="6" t="str">
        <f>VLOOKUP(E89,'2. Productos'!$C$4:F93,3,0)</f>
        <v>Aceites</v>
      </c>
      <c r="H89" s="6" t="str">
        <f>VLOOKUP(J89,'3. Mercados'!$C$4:$F$9,2,0)</f>
        <v>Norteamérica</v>
      </c>
      <c r="I89" s="11">
        <f>VLOOKUP(J89,'3. Mercados'!$C$4:$F$9,3,0)</f>
        <v>0.05</v>
      </c>
      <c r="J89" s="1" t="s">
        <v>16</v>
      </c>
      <c r="K89" s="1" t="str">
        <f>VLOOKUP(J89,'3. Mercados'!$C$4:$F$9,4,0)</f>
        <v>Estratégico</v>
      </c>
      <c r="L89" s="1">
        <v>730</v>
      </c>
      <c r="M89" s="1">
        <v>12.5</v>
      </c>
      <c r="N89" s="12">
        <f t="shared" si="5"/>
        <v>9125</v>
      </c>
      <c r="O89" s="1">
        <v>8.6999999999999993</v>
      </c>
      <c r="P89" s="12">
        <f t="shared" si="6"/>
        <v>6350.9999999999991</v>
      </c>
      <c r="Q89" s="9" t="s">
        <v>17</v>
      </c>
      <c r="R89" s="14">
        <f t="shared" si="7"/>
        <v>2774.0000000000009</v>
      </c>
      <c r="S89" s="15">
        <f t="shared" si="8"/>
        <v>0.3040000000000001</v>
      </c>
      <c r="T89" s="9" t="str">
        <f t="shared" si="9"/>
        <v>Alta</v>
      </c>
    </row>
    <row r="90" spans="2:20" x14ac:dyDescent="0.25">
      <c r="B90" s="1" t="s">
        <v>137</v>
      </c>
      <c r="C90" s="8">
        <v>46029</v>
      </c>
      <c r="D90" s="1" t="s">
        <v>9</v>
      </c>
      <c r="E90" s="6" t="s">
        <v>20</v>
      </c>
      <c r="F90" s="6" t="str">
        <f>VLOOKUP(E90,'2. Productos'!$C$4:F94,2,0)</f>
        <v>Maní procesado</v>
      </c>
      <c r="G90" s="6" t="str">
        <f>VLOOKUP(E90,'2. Productos'!$C$4:F94,3,0)</f>
        <v>Semillas</v>
      </c>
      <c r="H90" s="6" t="str">
        <f>VLOOKUP(J90,'3. Mercados'!$C$4:$F$9,2,0)</f>
        <v>Centroamérica</v>
      </c>
      <c r="I90" s="11">
        <f>VLOOKUP(J90,'3. Mercados'!$C$4:$F$9,3,0)</f>
        <v>0.03</v>
      </c>
      <c r="J90" s="1" t="s">
        <v>11</v>
      </c>
      <c r="K90" s="1" t="str">
        <f>VLOOKUP(J90,'3. Mercados'!$C$4:$F$9,4,0)</f>
        <v>Estratégico</v>
      </c>
      <c r="L90" s="1">
        <v>780</v>
      </c>
      <c r="M90" s="1">
        <v>8.1999999999999993</v>
      </c>
      <c r="N90" s="12">
        <f t="shared" si="5"/>
        <v>6395.9999999999991</v>
      </c>
      <c r="O90" s="1">
        <v>5.9</v>
      </c>
      <c r="P90" s="12">
        <f t="shared" si="6"/>
        <v>4602</v>
      </c>
      <c r="Q90" s="9" t="s">
        <v>12</v>
      </c>
      <c r="R90" s="14">
        <f t="shared" si="7"/>
        <v>1793.9999999999991</v>
      </c>
      <c r="S90" s="15">
        <f t="shared" si="8"/>
        <v>0.2804878048780487</v>
      </c>
      <c r="T90" s="9" t="str">
        <f t="shared" si="9"/>
        <v>Mediana</v>
      </c>
    </row>
    <row r="91" spans="2:20" x14ac:dyDescent="0.25">
      <c r="B91" s="1" t="s">
        <v>138</v>
      </c>
      <c r="C91" s="8">
        <v>46038</v>
      </c>
      <c r="D91" s="1" t="s">
        <v>19</v>
      </c>
      <c r="E91" s="6" t="s">
        <v>10</v>
      </c>
      <c r="F91" s="6" t="str">
        <f>VLOOKUP(E91,'2. Productos'!$C$4:F95,2,0)</f>
        <v>Miel natural</v>
      </c>
      <c r="G91" s="6" t="str">
        <f>VLOOKUP(E91,'2. Productos'!$C$4:F95,3,0)</f>
        <v>Apícola</v>
      </c>
      <c r="H91" s="6" t="str">
        <f>VLOOKUP(J91,'3. Mercados'!$C$4:$F$9,2,0)</f>
        <v>Centroamérica</v>
      </c>
      <c r="I91" s="11">
        <f>VLOOKUP(J91,'3. Mercados'!$C$4:$F$9,3,0)</f>
        <v>0.02</v>
      </c>
      <c r="J91" s="1" t="s">
        <v>21</v>
      </c>
      <c r="K91" s="1" t="str">
        <f>VLOOKUP(J91,'3. Mercados'!$C$4:$F$9,4,0)</f>
        <v>Estratégico</v>
      </c>
      <c r="L91" s="1">
        <v>930</v>
      </c>
      <c r="M91" s="1">
        <v>4.8</v>
      </c>
      <c r="N91" s="12">
        <f t="shared" si="5"/>
        <v>4464</v>
      </c>
      <c r="O91" s="1">
        <v>3.2</v>
      </c>
      <c r="P91" s="12">
        <f t="shared" si="6"/>
        <v>2976</v>
      </c>
      <c r="Q91" s="9" t="s">
        <v>17</v>
      </c>
      <c r="R91" s="14">
        <f t="shared" si="7"/>
        <v>1488</v>
      </c>
      <c r="S91" s="15">
        <f t="shared" si="8"/>
        <v>0.33333333333333331</v>
      </c>
      <c r="T91" s="9" t="str">
        <f t="shared" si="9"/>
        <v>Alta</v>
      </c>
    </row>
    <row r="92" spans="2:20" x14ac:dyDescent="0.25">
      <c r="B92" s="1" t="s">
        <v>139</v>
      </c>
      <c r="C92" s="8">
        <v>46047</v>
      </c>
      <c r="D92" s="1" t="s">
        <v>23</v>
      </c>
      <c r="E92" s="6" t="s">
        <v>24</v>
      </c>
      <c r="F92" s="6" t="str">
        <f>VLOOKUP(E92,'2. Productos'!$C$4:F96,2,0)</f>
        <v>Cacao en grano</v>
      </c>
      <c r="G92" s="6" t="str">
        <f>VLOOKUP(E92,'2. Productos'!$C$4:F96,3,0)</f>
        <v>Cacao</v>
      </c>
      <c r="H92" s="6" t="str">
        <f>VLOOKUP(J92,'3. Mercados'!$C$4:$F$9,2,0)</f>
        <v>Europa</v>
      </c>
      <c r="I92" s="11">
        <f>VLOOKUP(J92,'3. Mercados'!$C$4:$F$9,3,0)</f>
        <v>0.1</v>
      </c>
      <c r="J92" s="1" t="s">
        <v>25</v>
      </c>
      <c r="K92" s="1" t="str">
        <f>VLOOKUP(J92,'3. Mercados'!$C$4:$F$9,4,0)</f>
        <v>Potencial</v>
      </c>
      <c r="L92" s="1">
        <v>870</v>
      </c>
      <c r="M92" s="1">
        <v>7.1</v>
      </c>
      <c r="N92" s="12">
        <f t="shared" si="5"/>
        <v>6177</v>
      </c>
      <c r="O92" s="1">
        <v>4.8</v>
      </c>
      <c r="P92" s="12">
        <f t="shared" si="6"/>
        <v>4176</v>
      </c>
      <c r="Q92" s="9" t="s">
        <v>26</v>
      </c>
      <c r="R92" s="14">
        <f t="shared" si="7"/>
        <v>2001</v>
      </c>
      <c r="S92" s="15">
        <f t="shared" si="8"/>
        <v>0.323943661971831</v>
      </c>
      <c r="T92" s="9" t="str">
        <f t="shared" si="9"/>
        <v>Alta</v>
      </c>
    </row>
    <row r="93" spans="2:20" x14ac:dyDescent="0.25">
      <c r="B93" s="1" t="s">
        <v>140</v>
      </c>
      <c r="C93" s="8">
        <v>46059</v>
      </c>
      <c r="D93" s="1" t="s">
        <v>28</v>
      </c>
      <c r="E93" s="6" t="s">
        <v>29</v>
      </c>
      <c r="F93" s="6" t="str">
        <f>VLOOKUP(E93,'2. Productos'!$C$4:F97,2,0)</f>
        <v>Aceite de ajonjolí</v>
      </c>
      <c r="G93" s="6" t="str">
        <f>VLOOKUP(E93,'2. Productos'!$C$4:F97,3,0)</f>
        <v>Aceites</v>
      </c>
      <c r="H93" s="6" t="str">
        <f>VLOOKUP(J93,'3. Mercados'!$C$4:$F$9,2,0)</f>
        <v>Norteamérica</v>
      </c>
      <c r="I93" s="11">
        <f>VLOOKUP(J93,'3. Mercados'!$C$4:$F$9,3,0)</f>
        <v>0.08</v>
      </c>
      <c r="J93" s="1" t="s">
        <v>30</v>
      </c>
      <c r="K93" s="1" t="str">
        <f>VLOOKUP(J93,'3. Mercados'!$C$4:$F$9,4,0)</f>
        <v>Potencial</v>
      </c>
      <c r="L93" s="1">
        <v>480</v>
      </c>
      <c r="M93" s="1">
        <v>12.5</v>
      </c>
      <c r="N93" s="12">
        <f t="shared" si="5"/>
        <v>6000</v>
      </c>
      <c r="O93" s="1">
        <v>8.6999999999999993</v>
      </c>
      <c r="P93" s="12">
        <f t="shared" si="6"/>
        <v>4176</v>
      </c>
      <c r="Q93" s="9" t="s">
        <v>12</v>
      </c>
      <c r="R93" s="14">
        <f t="shared" si="7"/>
        <v>1824</v>
      </c>
      <c r="S93" s="15">
        <f t="shared" si="8"/>
        <v>0.30399999999999999</v>
      </c>
      <c r="T93" s="9" t="str">
        <f t="shared" si="9"/>
        <v>Alta</v>
      </c>
    </row>
    <row r="94" spans="2:20" x14ac:dyDescent="0.25">
      <c r="B94" s="1" t="s">
        <v>141</v>
      </c>
      <c r="C94" s="8">
        <v>46068</v>
      </c>
      <c r="D94" s="1" t="s">
        <v>14</v>
      </c>
      <c r="E94" s="6" t="s">
        <v>15</v>
      </c>
      <c r="F94" s="6" t="str">
        <f>VLOOKUP(E94,'2. Productos'!$C$4:F98,2,0)</f>
        <v>Café especial</v>
      </c>
      <c r="G94" s="6" t="str">
        <f>VLOOKUP(E94,'2. Productos'!$C$4:F98,3,0)</f>
        <v>Café</v>
      </c>
      <c r="H94" s="6" t="str">
        <f>VLOOKUP(J94,'3. Mercados'!$C$4:$F$9,2,0)</f>
        <v>Norteamérica</v>
      </c>
      <c r="I94" s="11">
        <f>VLOOKUP(J94,'3. Mercados'!$C$4:$F$9,3,0)</f>
        <v>0.05</v>
      </c>
      <c r="J94" s="1" t="s">
        <v>16</v>
      </c>
      <c r="K94" s="1" t="str">
        <f>VLOOKUP(J94,'3. Mercados'!$C$4:$F$9,4,0)</f>
        <v>Estratégico</v>
      </c>
      <c r="L94" s="1">
        <v>1260</v>
      </c>
      <c r="M94" s="1">
        <v>6.5</v>
      </c>
      <c r="N94" s="12">
        <f t="shared" si="5"/>
        <v>8190</v>
      </c>
      <c r="O94" s="1">
        <v>4.0999999999999996</v>
      </c>
      <c r="P94" s="12">
        <f t="shared" si="6"/>
        <v>5166</v>
      </c>
      <c r="Q94" s="9" t="s">
        <v>17</v>
      </c>
      <c r="R94" s="14">
        <f t="shared" si="7"/>
        <v>3024</v>
      </c>
      <c r="S94" s="15">
        <f t="shared" si="8"/>
        <v>0.36923076923076925</v>
      </c>
      <c r="T94" s="9" t="str">
        <f t="shared" si="9"/>
        <v>Alta</v>
      </c>
    </row>
    <row r="95" spans="2:20" x14ac:dyDescent="0.25">
      <c r="B95" s="1" t="s">
        <v>142</v>
      </c>
      <c r="C95" s="8">
        <v>46077</v>
      </c>
      <c r="D95" s="1" t="s">
        <v>9</v>
      </c>
      <c r="E95" s="6" t="s">
        <v>10</v>
      </c>
      <c r="F95" s="6" t="str">
        <f>VLOOKUP(E95,'2. Productos'!$C$4:F99,2,0)</f>
        <v>Miel natural</v>
      </c>
      <c r="G95" s="6" t="str">
        <f>VLOOKUP(E95,'2. Productos'!$C$4:F99,3,0)</f>
        <v>Apícola</v>
      </c>
      <c r="H95" s="6" t="str">
        <f>VLOOKUP(J95,'3. Mercados'!$C$4:$F$9,2,0)</f>
        <v>Centroamérica</v>
      </c>
      <c r="I95" s="11">
        <f>VLOOKUP(J95,'3. Mercados'!$C$4:$F$9,3,0)</f>
        <v>0.03</v>
      </c>
      <c r="J95" s="1" t="s">
        <v>11</v>
      </c>
      <c r="K95" s="1" t="str">
        <f>VLOOKUP(J95,'3. Mercados'!$C$4:$F$9,4,0)</f>
        <v>Estratégico</v>
      </c>
      <c r="L95" s="1">
        <v>1100</v>
      </c>
      <c r="M95" s="1">
        <v>4.8</v>
      </c>
      <c r="N95" s="12">
        <f t="shared" si="5"/>
        <v>5280</v>
      </c>
      <c r="O95" s="1">
        <v>3.2</v>
      </c>
      <c r="P95" s="12">
        <f t="shared" si="6"/>
        <v>3520</v>
      </c>
      <c r="Q95" s="9" t="s">
        <v>12</v>
      </c>
      <c r="R95" s="14">
        <f t="shared" si="7"/>
        <v>1760</v>
      </c>
      <c r="S95" s="15">
        <f t="shared" si="8"/>
        <v>0.33333333333333331</v>
      </c>
      <c r="T95" s="9" t="str">
        <f t="shared" si="9"/>
        <v>Alta</v>
      </c>
    </row>
    <row r="96" spans="2:20" x14ac:dyDescent="0.25">
      <c r="B96" s="1" t="s">
        <v>143</v>
      </c>
      <c r="C96" s="8">
        <v>46086</v>
      </c>
      <c r="D96" s="1" t="s">
        <v>19</v>
      </c>
      <c r="E96" s="6" t="s">
        <v>29</v>
      </c>
      <c r="F96" s="6" t="str">
        <f>VLOOKUP(E96,'2. Productos'!$C$4:F100,2,0)</f>
        <v>Aceite de ajonjolí</v>
      </c>
      <c r="G96" s="6" t="str">
        <f>VLOOKUP(E96,'2. Productos'!$C$4:F100,3,0)</f>
        <v>Aceites</v>
      </c>
      <c r="H96" s="6" t="str">
        <f>VLOOKUP(J96,'3. Mercados'!$C$4:$F$9,2,0)</f>
        <v>Centroamérica</v>
      </c>
      <c r="I96" s="11">
        <f>VLOOKUP(J96,'3. Mercados'!$C$4:$F$9,3,0)</f>
        <v>0.02</v>
      </c>
      <c r="J96" s="1" t="s">
        <v>21</v>
      </c>
      <c r="K96" s="1" t="str">
        <f>VLOOKUP(J96,'3. Mercados'!$C$4:$F$9,4,0)</f>
        <v>Estratégico</v>
      </c>
      <c r="L96" s="1">
        <v>570</v>
      </c>
      <c r="M96" s="1">
        <v>12.5</v>
      </c>
      <c r="N96" s="12">
        <f t="shared" si="5"/>
        <v>7125</v>
      </c>
      <c r="O96" s="1">
        <v>8.6999999999999993</v>
      </c>
      <c r="P96" s="12">
        <f t="shared" si="6"/>
        <v>4959</v>
      </c>
      <c r="Q96" s="9" t="s">
        <v>17</v>
      </c>
      <c r="R96" s="14">
        <f t="shared" si="7"/>
        <v>2166</v>
      </c>
      <c r="S96" s="15">
        <f t="shared" si="8"/>
        <v>0.30399999999999999</v>
      </c>
      <c r="T96" s="9" t="str">
        <f t="shared" si="9"/>
        <v>Alta</v>
      </c>
    </row>
    <row r="97" spans="2:20" x14ac:dyDescent="0.25">
      <c r="B97" s="1" t="s">
        <v>144</v>
      </c>
      <c r="C97" s="8">
        <v>46095</v>
      </c>
      <c r="D97" s="1" t="s">
        <v>23</v>
      </c>
      <c r="E97" s="6" t="s">
        <v>20</v>
      </c>
      <c r="F97" s="6" t="str">
        <f>VLOOKUP(E97,'2. Productos'!$C$4:F101,2,0)</f>
        <v>Maní procesado</v>
      </c>
      <c r="G97" s="6" t="str">
        <f>VLOOKUP(E97,'2. Productos'!$C$4:F101,3,0)</f>
        <v>Semillas</v>
      </c>
      <c r="H97" s="6" t="str">
        <f>VLOOKUP(J97,'3. Mercados'!$C$4:$F$9,2,0)</f>
        <v>Europa</v>
      </c>
      <c r="I97" s="11">
        <f>VLOOKUP(J97,'3. Mercados'!$C$4:$F$9,3,0)</f>
        <v>0.1</v>
      </c>
      <c r="J97" s="1" t="s">
        <v>25</v>
      </c>
      <c r="K97" s="1" t="str">
        <f>VLOOKUP(J97,'3. Mercados'!$C$4:$F$9,4,0)</f>
        <v>Potencial</v>
      </c>
      <c r="L97" s="1">
        <v>880</v>
      </c>
      <c r="M97" s="1">
        <v>8.1999999999999993</v>
      </c>
      <c r="N97" s="12">
        <f t="shared" si="5"/>
        <v>7215.9999999999991</v>
      </c>
      <c r="O97" s="1">
        <v>5.9</v>
      </c>
      <c r="P97" s="12">
        <f t="shared" si="6"/>
        <v>5192</v>
      </c>
      <c r="Q97" s="9" t="s">
        <v>12</v>
      </c>
      <c r="R97" s="14">
        <f t="shared" si="7"/>
        <v>2023.9999999999991</v>
      </c>
      <c r="S97" s="15">
        <f t="shared" si="8"/>
        <v>0.2804878048780487</v>
      </c>
      <c r="T97" s="9" t="str">
        <f t="shared" si="9"/>
        <v>Mediana</v>
      </c>
    </row>
    <row r="98" spans="2:20" x14ac:dyDescent="0.25">
      <c r="B98" s="1" t="s">
        <v>145</v>
      </c>
      <c r="C98" s="8">
        <v>46104</v>
      </c>
      <c r="D98" s="1" t="s">
        <v>28</v>
      </c>
      <c r="E98" s="6" t="s">
        <v>24</v>
      </c>
      <c r="F98" s="6" t="str">
        <f>VLOOKUP(E98,'2. Productos'!$C$4:F102,2,0)</f>
        <v>Cacao en grano</v>
      </c>
      <c r="G98" s="6" t="str">
        <f>VLOOKUP(E98,'2. Productos'!$C$4:F102,3,0)</f>
        <v>Cacao</v>
      </c>
      <c r="H98" s="6" t="str">
        <f>VLOOKUP(J98,'3. Mercados'!$C$4:$F$9,2,0)</f>
        <v>Norteamérica</v>
      </c>
      <c r="I98" s="11">
        <f>VLOOKUP(J98,'3. Mercados'!$C$4:$F$9,3,0)</f>
        <v>0.08</v>
      </c>
      <c r="J98" s="1" t="s">
        <v>30</v>
      </c>
      <c r="K98" s="1" t="str">
        <f>VLOOKUP(J98,'3. Mercados'!$C$4:$F$9,4,0)</f>
        <v>Potencial</v>
      </c>
      <c r="L98" s="1">
        <v>1060</v>
      </c>
      <c r="M98" s="1">
        <v>7.1</v>
      </c>
      <c r="N98" s="12">
        <f t="shared" si="5"/>
        <v>7526</v>
      </c>
      <c r="O98" s="1">
        <v>4.8</v>
      </c>
      <c r="P98" s="12">
        <f t="shared" si="6"/>
        <v>5088</v>
      </c>
      <c r="Q98" s="9" t="s">
        <v>17</v>
      </c>
      <c r="R98" s="14">
        <f t="shared" si="7"/>
        <v>2438</v>
      </c>
      <c r="S98" s="15">
        <f t="shared" si="8"/>
        <v>0.323943661971831</v>
      </c>
      <c r="T98" s="9" t="str">
        <f t="shared" si="9"/>
        <v>Alta</v>
      </c>
    </row>
    <row r="99" spans="2:20" x14ac:dyDescent="0.25">
      <c r="B99" s="1" t="s">
        <v>146</v>
      </c>
      <c r="C99" s="8">
        <v>46114</v>
      </c>
      <c r="D99" s="1" t="s">
        <v>14</v>
      </c>
      <c r="E99" s="6" t="s">
        <v>10</v>
      </c>
      <c r="F99" s="6" t="str">
        <f>VLOOKUP(E99,'2. Productos'!$C$4:F103,2,0)</f>
        <v>Miel natural</v>
      </c>
      <c r="G99" s="6" t="str">
        <f>VLOOKUP(E99,'2. Productos'!$C$4:F103,3,0)</f>
        <v>Apícola</v>
      </c>
      <c r="H99" s="6" t="str">
        <f>VLOOKUP(J99,'3. Mercados'!$C$4:$F$9,2,0)</f>
        <v>Norteamérica</v>
      </c>
      <c r="I99" s="11">
        <f>VLOOKUP(J99,'3. Mercados'!$C$4:$F$9,3,0)</f>
        <v>0.05</v>
      </c>
      <c r="J99" s="1" t="s">
        <v>16</v>
      </c>
      <c r="K99" s="1" t="str">
        <f>VLOOKUP(J99,'3. Mercados'!$C$4:$F$9,4,0)</f>
        <v>Estratégico</v>
      </c>
      <c r="L99" s="1">
        <v>1490</v>
      </c>
      <c r="M99" s="1">
        <v>4.8</v>
      </c>
      <c r="N99" s="12">
        <f t="shared" si="5"/>
        <v>7152</v>
      </c>
      <c r="O99" s="1">
        <v>3.2</v>
      </c>
      <c r="P99" s="12">
        <f t="shared" si="6"/>
        <v>4768</v>
      </c>
      <c r="Q99" s="9" t="s">
        <v>26</v>
      </c>
      <c r="R99" s="14">
        <f t="shared" si="7"/>
        <v>2384</v>
      </c>
      <c r="S99" s="15">
        <f t="shared" si="8"/>
        <v>0.33333333333333331</v>
      </c>
      <c r="T99" s="9" t="str">
        <f t="shared" si="9"/>
        <v>Alta</v>
      </c>
    </row>
    <row r="100" spans="2:20" x14ac:dyDescent="0.25">
      <c r="B100" s="1" t="s">
        <v>147</v>
      </c>
      <c r="C100" s="8">
        <v>46123</v>
      </c>
      <c r="D100" s="1" t="s">
        <v>9</v>
      </c>
      <c r="E100" s="6" t="s">
        <v>15</v>
      </c>
      <c r="F100" s="6" t="str">
        <f>VLOOKUP(E100,'2. Productos'!$C$4:F104,2,0)</f>
        <v>Café especial</v>
      </c>
      <c r="G100" s="6" t="str">
        <f>VLOOKUP(E100,'2. Productos'!$C$4:F104,3,0)</f>
        <v>Café</v>
      </c>
      <c r="H100" s="6" t="str">
        <f>VLOOKUP(J100,'3. Mercados'!$C$4:$F$9,2,0)</f>
        <v>Centroamérica</v>
      </c>
      <c r="I100" s="11">
        <f>VLOOKUP(J100,'3. Mercados'!$C$4:$F$9,3,0)</f>
        <v>0.03</v>
      </c>
      <c r="J100" s="1" t="s">
        <v>11</v>
      </c>
      <c r="K100" s="1" t="str">
        <f>VLOOKUP(J100,'3. Mercados'!$C$4:$F$9,4,0)</f>
        <v>Estratégico</v>
      </c>
      <c r="L100" s="1">
        <v>910</v>
      </c>
      <c r="M100" s="1">
        <v>6.5</v>
      </c>
      <c r="N100" s="12">
        <f t="shared" si="5"/>
        <v>5915</v>
      </c>
      <c r="O100" s="1">
        <v>4.0999999999999996</v>
      </c>
      <c r="P100" s="12">
        <f t="shared" si="6"/>
        <v>3730.9999999999995</v>
      </c>
      <c r="Q100" s="9" t="s">
        <v>12</v>
      </c>
      <c r="R100" s="14">
        <f t="shared" si="7"/>
        <v>2184.0000000000005</v>
      </c>
      <c r="S100" s="15">
        <f t="shared" si="8"/>
        <v>0.36923076923076931</v>
      </c>
      <c r="T100" s="9" t="str">
        <f t="shared" si="9"/>
        <v>Alta</v>
      </c>
    </row>
    <row r="101" spans="2:20" x14ac:dyDescent="0.25">
      <c r="B101" s="1" t="s">
        <v>148</v>
      </c>
      <c r="C101" s="8">
        <v>46132</v>
      </c>
      <c r="D101" s="1" t="s">
        <v>19</v>
      </c>
      <c r="E101" s="6" t="s">
        <v>20</v>
      </c>
      <c r="F101" s="6" t="str">
        <f>VLOOKUP(E101,'2. Productos'!$C$4:F105,2,0)</f>
        <v>Maní procesado</v>
      </c>
      <c r="G101" s="6" t="str">
        <f>VLOOKUP(E101,'2. Productos'!$C$4:F105,3,0)</f>
        <v>Semillas</v>
      </c>
      <c r="H101" s="6" t="str">
        <f>VLOOKUP(J101,'3. Mercados'!$C$4:$F$9,2,0)</f>
        <v>Centroamérica</v>
      </c>
      <c r="I101" s="11">
        <f>VLOOKUP(J101,'3. Mercados'!$C$4:$F$9,3,0)</f>
        <v>0.02</v>
      </c>
      <c r="J101" s="1" t="s">
        <v>21</v>
      </c>
      <c r="K101" s="1" t="str">
        <f>VLOOKUP(J101,'3. Mercados'!$C$4:$F$9,4,0)</f>
        <v>Estratégico</v>
      </c>
      <c r="L101" s="1">
        <v>740</v>
      </c>
      <c r="M101" s="1">
        <v>8.1999999999999993</v>
      </c>
      <c r="N101" s="12">
        <f t="shared" si="5"/>
        <v>6067.9999999999991</v>
      </c>
      <c r="O101" s="1">
        <v>5.9</v>
      </c>
      <c r="P101" s="12">
        <f t="shared" si="6"/>
        <v>4366</v>
      </c>
      <c r="Q101" s="9" t="s">
        <v>17</v>
      </c>
      <c r="R101" s="14">
        <f t="shared" si="7"/>
        <v>1701.9999999999991</v>
      </c>
      <c r="S101" s="15">
        <f t="shared" si="8"/>
        <v>0.2804878048780487</v>
      </c>
      <c r="T101" s="9" t="str">
        <f t="shared" si="9"/>
        <v>Mediana</v>
      </c>
    </row>
    <row r="102" spans="2:20" x14ac:dyDescent="0.25">
      <c r="B102" s="1" t="s">
        <v>149</v>
      </c>
      <c r="C102" s="8">
        <v>46141</v>
      </c>
      <c r="D102" s="1" t="s">
        <v>23</v>
      </c>
      <c r="E102" s="6" t="s">
        <v>29</v>
      </c>
      <c r="F102" s="6" t="str">
        <f>VLOOKUP(E102,'2. Productos'!$C$4:F106,2,0)</f>
        <v>Aceite de ajonjolí</v>
      </c>
      <c r="G102" s="6" t="str">
        <f>VLOOKUP(E102,'2. Productos'!$C$4:F106,3,0)</f>
        <v>Aceites</v>
      </c>
      <c r="H102" s="6" t="str">
        <f>VLOOKUP(J102,'3. Mercados'!$C$4:$F$9,2,0)</f>
        <v>Europa</v>
      </c>
      <c r="I102" s="11">
        <f>VLOOKUP(J102,'3. Mercados'!$C$4:$F$9,3,0)</f>
        <v>0.1</v>
      </c>
      <c r="J102" s="1" t="s">
        <v>25</v>
      </c>
      <c r="K102" s="1" t="str">
        <f>VLOOKUP(J102,'3. Mercados'!$C$4:$F$9,4,0)</f>
        <v>Potencial</v>
      </c>
      <c r="L102" s="1">
        <v>630</v>
      </c>
      <c r="M102" s="1">
        <v>12.5</v>
      </c>
      <c r="N102" s="12">
        <f t="shared" si="5"/>
        <v>7875</v>
      </c>
      <c r="O102" s="1">
        <v>8.6999999999999993</v>
      </c>
      <c r="P102" s="12">
        <f t="shared" si="6"/>
        <v>5481</v>
      </c>
      <c r="Q102" s="9" t="s">
        <v>12</v>
      </c>
      <c r="R102" s="14">
        <f t="shared" si="7"/>
        <v>2394</v>
      </c>
      <c r="S102" s="15">
        <f t="shared" si="8"/>
        <v>0.30399999999999999</v>
      </c>
      <c r="T102" s="9" t="str">
        <f t="shared" si="9"/>
        <v>Alta</v>
      </c>
    </row>
    <row r="103" spans="2:20" x14ac:dyDescent="0.25">
      <c r="B103" s="1" t="s">
        <v>150</v>
      </c>
      <c r="C103" s="8">
        <v>46150</v>
      </c>
      <c r="D103" s="1" t="s">
        <v>28</v>
      </c>
      <c r="E103" s="6" t="s">
        <v>15</v>
      </c>
      <c r="F103" s="6" t="str">
        <f>VLOOKUP(E103,'2. Productos'!$C$4:F107,2,0)</f>
        <v>Café especial</v>
      </c>
      <c r="G103" s="6" t="str">
        <f>VLOOKUP(E103,'2. Productos'!$C$4:F107,3,0)</f>
        <v>Café</v>
      </c>
      <c r="H103" s="6" t="str">
        <f>VLOOKUP(J103,'3. Mercados'!$C$4:$F$9,2,0)</f>
        <v>Norteamérica</v>
      </c>
      <c r="I103" s="11">
        <f>VLOOKUP(J103,'3. Mercados'!$C$4:$F$9,3,0)</f>
        <v>0.08</v>
      </c>
      <c r="J103" s="1" t="s">
        <v>30</v>
      </c>
      <c r="K103" s="1" t="str">
        <f>VLOOKUP(J103,'3. Mercados'!$C$4:$F$9,4,0)</f>
        <v>Potencial</v>
      </c>
      <c r="L103" s="1">
        <v>1170</v>
      </c>
      <c r="M103" s="1">
        <v>6.5</v>
      </c>
      <c r="N103" s="12">
        <f t="shared" si="5"/>
        <v>7605</v>
      </c>
      <c r="O103" s="1">
        <v>4.0999999999999996</v>
      </c>
      <c r="P103" s="12">
        <f t="shared" si="6"/>
        <v>4797</v>
      </c>
      <c r="Q103" s="9" t="s">
        <v>17</v>
      </c>
      <c r="R103" s="14">
        <f t="shared" si="7"/>
        <v>2808</v>
      </c>
      <c r="S103" s="15">
        <f t="shared" si="8"/>
        <v>0.36923076923076925</v>
      </c>
      <c r="T103" s="9" t="str">
        <f t="shared" si="9"/>
        <v>Alta</v>
      </c>
    </row>
    <row r="104" spans="2:20" x14ac:dyDescent="0.25">
      <c r="Q104" s="3"/>
    </row>
    <row r="105" spans="2:20" x14ac:dyDescent="0.25">
      <c r="Q105" s="3"/>
    </row>
    <row r="106" spans="2:20" x14ac:dyDescent="0.25">
      <c r="B106" t="s">
        <v>162</v>
      </c>
      <c r="F106">
        <f>COUNTA(B4:B103)</f>
        <v>100</v>
      </c>
    </row>
    <row r="107" spans="2:20" x14ac:dyDescent="0.25">
      <c r="B107" t="s">
        <v>163</v>
      </c>
      <c r="F107">
        <f>COUNTIF(Q4:Q103,"Pendiente")</f>
        <v>15</v>
      </c>
    </row>
    <row r="108" spans="2:20" x14ac:dyDescent="0.25">
      <c r="B108" t="s">
        <v>164</v>
      </c>
      <c r="F108">
        <f>SUMIF(H4:H103,"Centroamérica",L4:L103)</f>
        <v>32720</v>
      </c>
    </row>
    <row r="110" spans="2:20" x14ac:dyDescent="0.25">
      <c r="B110" s="16" t="s">
        <v>165</v>
      </c>
      <c r="C110" t="s">
        <v>167</v>
      </c>
    </row>
    <row r="111" spans="2:20" x14ac:dyDescent="0.25">
      <c r="B111" s="17" t="s">
        <v>46</v>
      </c>
      <c r="C111" s="13">
        <v>42218</v>
      </c>
    </row>
    <row r="112" spans="2:20" x14ac:dyDescent="0.25">
      <c r="B112" s="17" t="s">
        <v>40</v>
      </c>
      <c r="C112" s="13">
        <v>36800</v>
      </c>
    </row>
    <row r="113" spans="2:3" x14ac:dyDescent="0.25">
      <c r="B113" s="17" t="s">
        <v>37</v>
      </c>
      <c r="C113" s="13">
        <v>62832</v>
      </c>
    </row>
    <row r="114" spans="2:3" x14ac:dyDescent="0.25">
      <c r="B114" s="17" t="s">
        <v>44</v>
      </c>
      <c r="C114" s="13">
        <v>33533.999999999993</v>
      </c>
    </row>
    <row r="115" spans="2:3" x14ac:dyDescent="0.25">
      <c r="B115" s="17" t="s">
        <v>42</v>
      </c>
      <c r="C115" s="13">
        <v>38688</v>
      </c>
    </row>
    <row r="116" spans="2:3" x14ac:dyDescent="0.25">
      <c r="B116" s="17" t="s">
        <v>166</v>
      </c>
      <c r="C116" s="13">
        <v>214072</v>
      </c>
    </row>
    <row r="117" spans="2:3" x14ac:dyDescent="0.25">
      <c r="C117"/>
    </row>
    <row r="118" spans="2:3" x14ac:dyDescent="0.25">
      <c r="C118"/>
    </row>
    <row r="119" spans="2:3" x14ac:dyDescent="0.25">
      <c r="C119"/>
    </row>
    <row r="120" spans="2:3" x14ac:dyDescent="0.25">
      <c r="B120" s="19" t="s">
        <v>174</v>
      </c>
      <c r="C120" s="19" t="s">
        <v>175</v>
      </c>
    </row>
    <row r="121" spans="2:3" x14ac:dyDescent="0.25">
      <c r="B121" s="1" t="s">
        <v>168</v>
      </c>
      <c r="C121" s="1">
        <f>COUNTIF(J4:J103,"EE.UU.")</f>
        <v>20</v>
      </c>
    </row>
    <row r="122" spans="2:3" x14ac:dyDescent="0.25">
      <c r="B122" s="1" t="s">
        <v>169</v>
      </c>
      <c r="C122" s="1">
        <f>COUNTIF(Q4:Q103,"Pendiente")</f>
        <v>15</v>
      </c>
    </row>
    <row r="123" spans="2:3" x14ac:dyDescent="0.25">
      <c r="B123" s="1" t="s">
        <v>170</v>
      </c>
      <c r="C123" s="1">
        <f>SUMIF(J4:J103,"México",N4:N103)</f>
        <v>120313</v>
      </c>
    </row>
    <row r="124" spans="2:3" x14ac:dyDescent="0.25">
      <c r="B124" s="1" t="s">
        <v>171</v>
      </c>
      <c r="C124" s="1">
        <f>SUMIF(J4:J103,"Guatemala",L4:L103)</f>
        <v>17130</v>
      </c>
    </row>
    <row r="125" spans="2:3" x14ac:dyDescent="0.25">
      <c r="B125" s="1" t="s">
        <v>172</v>
      </c>
      <c r="C125" s="1">
        <f>SUMIFS(N4:N103,F4:F103,"Café especial",J4:J103,"EE.UU.")</f>
        <v>52390</v>
      </c>
    </row>
    <row r="126" spans="2:3" x14ac:dyDescent="0.25">
      <c r="B126" s="1" t="s">
        <v>173</v>
      </c>
      <c r="C126" s="1">
        <f>SUMIFS(R4:R103,H4:H103,"Centroamérica")</f>
        <v>75241</v>
      </c>
    </row>
    <row r="127" spans="2:3" x14ac:dyDescent="0.25">
      <c r="C127"/>
    </row>
    <row r="129" spans="2:2" x14ac:dyDescent="0.25">
      <c r="B129" s="18" t="s">
        <v>180</v>
      </c>
    </row>
    <row r="130" spans="2:2" x14ac:dyDescent="0.25">
      <c r="B130" t="s">
        <v>182</v>
      </c>
    </row>
    <row r="131" spans="2:2" x14ac:dyDescent="0.25">
      <c r="B131" t="s">
        <v>181</v>
      </c>
    </row>
    <row r="132" spans="2:2" x14ac:dyDescent="0.25">
      <c r="B132" t="s">
        <v>183</v>
      </c>
    </row>
  </sheetData>
  <pageMargins left="0.7" right="0.7" top="0.75" bottom="0.75" header="0.3" footer="0.3"/>
  <pageSetup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8"/>
  <sheetViews>
    <sheetView workbookViewId="0">
      <selection activeCell="C3" sqref="C3"/>
    </sheetView>
  </sheetViews>
  <sheetFormatPr baseColWidth="10" defaultRowHeight="15" x14ac:dyDescent="0.25"/>
  <cols>
    <col min="3" max="3" width="9.85546875" customWidth="1"/>
    <col min="4" max="4" width="16.28515625" customWidth="1"/>
    <col min="5" max="5" width="10.28515625" customWidth="1"/>
    <col min="6" max="6" width="17.7109375" customWidth="1"/>
  </cols>
  <sheetData>
    <row r="2" spans="3:6" ht="21.6" customHeight="1" x14ac:dyDescent="0.25">
      <c r="C2" s="5" t="s">
        <v>152</v>
      </c>
    </row>
    <row r="3" spans="3:6" x14ac:dyDescent="0.25">
      <c r="C3" s="4" t="s">
        <v>34</v>
      </c>
      <c r="D3" s="4" t="s">
        <v>35</v>
      </c>
      <c r="E3" s="4" t="s">
        <v>36</v>
      </c>
      <c r="F3" s="4" t="s">
        <v>153</v>
      </c>
    </row>
    <row r="4" spans="3:6" x14ac:dyDescent="0.25">
      <c r="C4" s="6" t="s">
        <v>15</v>
      </c>
      <c r="D4" s="1" t="s">
        <v>37</v>
      </c>
      <c r="E4" s="1" t="s">
        <v>38</v>
      </c>
      <c r="F4" s="6" t="s">
        <v>39</v>
      </c>
    </row>
    <row r="5" spans="3:6" x14ac:dyDescent="0.25">
      <c r="C5" s="6" t="s">
        <v>24</v>
      </c>
      <c r="D5" s="1" t="s">
        <v>40</v>
      </c>
      <c r="E5" s="1" t="s">
        <v>41</v>
      </c>
      <c r="F5" s="6" t="s">
        <v>39</v>
      </c>
    </row>
    <row r="6" spans="3:6" x14ac:dyDescent="0.25">
      <c r="C6" s="6" t="s">
        <v>10</v>
      </c>
      <c r="D6" s="1" t="s">
        <v>42</v>
      </c>
      <c r="E6" s="1" t="s">
        <v>43</v>
      </c>
      <c r="F6" s="6" t="s">
        <v>39</v>
      </c>
    </row>
    <row r="7" spans="3:6" x14ac:dyDescent="0.25">
      <c r="C7" s="6" t="s">
        <v>20</v>
      </c>
      <c r="D7" s="1" t="s">
        <v>44</v>
      </c>
      <c r="E7" s="1" t="s">
        <v>45</v>
      </c>
      <c r="F7" s="6" t="s">
        <v>39</v>
      </c>
    </row>
    <row r="8" spans="3:6" x14ac:dyDescent="0.25">
      <c r="C8" s="6" t="s">
        <v>29</v>
      </c>
      <c r="D8" s="1" t="s">
        <v>46</v>
      </c>
      <c r="E8" s="1" t="s">
        <v>47</v>
      </c>
      <c r="F8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9"/>
  <sheetViews>
    <sheetView workbookViewId="0">
      <selection activeCell="C3" sqref="C3"/>
    </sheetView>
  </sheetViews>
  <sheetFormatPr baseColWidth="10" defaultRowHeight="15" x14ac:dyDescent="0.25"/>
  <cols>
    <col min="4" max="4" width="14.42578125" customWidth="1"/>
    <col min="12" max="12" width="10" customWidth="1"/>
    <col min="13" max="13" width="23.42578125" customWidth="1"/>
    <col min="14" max="14" width="12.140625" customWidth="1"/>
    <col min="16" max="16" width="31.42578125" customWidth="1"/>
    <col min="17" max="18" width="8.85546875" customWidth="1"/>
    <col min="19" max="19" width="11.140625" customWidth="1"/>
    <col min="20" max="20" width="11.42578125" customWidth="1"/>
    <col min="22" max="22" width="32.5703125" customWidth="1"/>
    <col min="23" max="23" width="10.85546875" customWidth="1"/>
    <col min="24" max="24" width="14.42578125" customWidth="1"/>
  </cols>
  <sheetData>
    <row r="2" spans="3:6" ht="16.899999999999999" customHeight="1" x14ac:dyDescent="0.25">
      <c r="C2" s="5" t="s">
        <v>154</v>
      </c>
    </row>
    <row r="3" spans="3:6" x14ac:dyDescent="0.25">
      <c r="C3" s="4" t="s">
        <v>49</v>
      </c>
      <c r="D3" s="4" t="s">
        <v>50</v>
      </c>
      <c r="E3" s="4" t="s">
        <v>51</v>
      </c>
      <c r="F3" s="4" t="s">
        <v>52</v>
      </c>
    </row>
    <row r="4" spans="3:6" x14ac:dyDescent="0.25">
      <c r="C4" s="1" t="s">
        <v>16</v>
      </c>
      <c r="D4" s="1" t="s">
        <v>53</v>
      </c>
      <c r="E4" s="7">
        <v>0.05</v>
      </c>
      <c r="F4" s="1" t="s">
        <v>54</v>
      </c>
    </row>
    <row r="5" spans="3:6" x14ac:dyDescent="0.25">
      <c r="C5" s="1" t="s">
        <v>30</v>
      </c>
      <c r="D5" s="1" t="s">
        <v>53</v>
      </c>
      <c r="E5" s="7">
        <v>0.08</v>
      </c>
      <c r="F5" s="1" t="s">
        <v>55</v>
      </c>
    </row>
    <row r="6" spans="3:6" x14ac:dyDescent="0.25">
      <c r="C6" s="1" t="s">
        <v>11</v>
      </c>
      <c r="D6" s="1" t="s">
        <v>56</v>
      </c>
      <c r="E6" s="7">
        <v>0.03</v>
      </c>
      <c r="F6" s="1" t="s">
        <v>54</v>
      </c>
    </row>
    <row r="7" spans="3:6" x14ac:dyDescent="0.25">
      <c r="C7" s="1" t="s">
        <v>21</v>
      </c>
      <c r="D7" s="1" t="s">
        <v>56</v>
      </c>
      <c r="E7" s="7">
        <v>0.02</v>
      </c>
      <c r="F7" s="1" t="s">
        <v>54</v>
      </c>
    </row>
    <row r="8" spans="3:6" x14ac:dyDescent="0.25">
      <c r="C8" s="1" t="s">
        <v>57</v>
      </c>
      <c r="D8" s="1" t="s">
        <v>56</v>
      </c>
      <c r="E8" s="7">
        <v>0.02</v>
      </c>
      <c r="F8" s="1" t="s">
        <v>55</v>
      </c>
    </row>
    <row r="9" spans="3:6" x14ac:dyDescent="0.25">
      <c r="C9" s="1" t="s">
        <v>25</v>
      </c>
      <c r="D9" s="1" t="s">
        <v>58</v>
      </c>
      <c r="E9" s="7">
        <v>0.1</v>
      </c>
      <c r="F9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topLeftCell="A5" workbookViewId="0">
      <selection activeCell="A26" sqref="A26"/>
    </sheetView>
  </sheetViews>
  <sheetFormatPr baseColWidth="10" defaultRowHeight="15" x14ac:dyDescent="0.25"/>
  <cols>
    <col min="1" max="1" width="17.5703125" bestFit="1" customWidth="1"/>
    <col min="2" max="2" width="17.85546875" bestFit="1" customWidth="1"/>
  </cols>
  <sheetData>
    <row r="3" spans="1:2" x14ac:dyDescent="0.25">
      <c r="A3" s="16" t="s">
        <v>165</v>
      </c>
      <c r="B3" t="s">
        <v>176</v>
      </c>
    </row>
    <row r="4" spans="1:2" x14ac:dyDescent="0.25">
      <c r="A4" s="17" t="s">
        <v>21</v>
      </c>
      <c r="B4" s="20">
        <v>113544</v>
      </c>
    </row>
    <row r="5" spans="1:2" x14ac:dyDescent="0.25">
      <c r="A5" s="17" t="s">
        <v>16</v>
      </c>
      <c r="B5" s="20">
        <v>168745</v>
      </c>
    </row>
    <row r="6" spans="1:2" x14ac:dyDescent="0.25">
      <c r="A6" s="17" t="s">
        <v>25</v>
      </c>
      <c r="B6" s="20">
        <v>136328</v>
      </c>
    </row>
    <row r="7" spans="1:2" x14ac:dyDescent="0.25">
      <c r="A7" s="17" t="s">
        <v>11</v>
      </c>
      <c r="B7" s="20">
        <v>119335</v>
      </c>
    </row>
    <row r="8" spans="1:2" x14ac:dyDescent="0.25">
      <c r="A8" s="17" t="s">
        <v>30</v>
      </c>
      <c r="B8" s="20">
        <v>120313</v>
      </c>
    </row>
    <row r="9" spans="1:2" x14ac:dyDescent="0.25">
      <c r="A9" s="17" t="s">
        <v>166</v>
      </c>
      <c r="B9" s="20">
        <v>658265</v>
      </c>
    </row>
    <row r="26" spans="1:1" x14ac:dyDescent="0.25">
      <c r="A26" t="s">
        <v>177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6"/>
  <sheetViews>
    <sheetView tabSelected="1" workbookViewId="0">
      <selection activeCell="A26" sqref="A26"/>
    </sheetView>
  </sheetViews>
  <sheetFormatPr baseColWidth="10" defaultRowHeight="15" x14ac:dyDescent="0.25"/>
  <cols>
    <col min="1" max="1" width="17.5703125" bestFit="1" customWidth="1"/>
    <col min="2" max="2" width="16.28515625" bestFit="1" customWidth="1"/>
  </cols>
  <sheetData>
    <row r="3" spans="1:2" x14ac:dyDescent="0.25">
      <c r="A3" s="16" t="s">
        <v>165</v>
      </c>
      <c r="B3" t="s">
        <v>167</v>
      </c>
    </row>
    <row r="4" spans="1:2" x14ac:dyDescent="0.25">
      <c r="A4" s="17" t="s">
        <v>46</v>
      </c>
      <c r="B4" s="20">
        <v>42218</v>
      </c>
    </row>
    <row r="5" spans="1:2" x14ac:dyDescent="0.25">
      <c r="A5" s="17" t="s">
        <v>40</v>
      </c>
      <c r="B5" s="20">
        <v>36800</v>
      </c>
    </row>
    <row r="6" spans="1:2" x14ac:dyDescent="0.25">
      <c r="A6" s="17" t="s">
        <v>37</v>
      </c>
      <c r="B6" s="20">
        <v>62832</v>
      </c>
    </row>
    <row r="7" spans="1:2" x14ac:dyDescent="0.25">
      <c r="A7" s="17" t="s">
        <v>44</v>
      </c>
      <c r="B7" s="20">
        <v>33533.999999999993</v>
      </c>
    </row>
    <row r="8" spans="1:2" x14ac:dyDescent="0.25">
      <c r="A8" s="17" t="s">
        <v>42</v>
      </c>
      <c r="B8" s="20">
        <v>38688</v>
      </c>
    </row>
    <row r="9" spans="1:2" x14ac:dyDescent="0.25">
      <c r="A9" s="17" t="s">
        <v>166</v>
      </c>
      <c r="B9" s="20">
        <v>214072</v>
      </c>
    </row>
    <row r="26" spans="1:1" x14ac:dyDescent="0.25">
      <c r="A26" t="s">
        <v>178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J14" sqref="J14"/>
    </sheetView>
  </sheetViews>
  <sheetFormatPr baseColWidth="10" defaultRowHeight="15" x14ac:dyDescent="0.25"/>
  <cols>
    <col min="1" max="1" width="17.5703125" bestFit="1" customWidth="1"/>
    <col min="2" max="2" width="17.85546875" bestFit="1" customWidth="1"/>
  </cols>
  <sheetData>
    <row r="3" spans="1:2" x14ac:dyDescent="0.25">
      <c r="A3" s="16" t="s">
        <v>165</v>
      </c>
      <c r="B3" t="s">
        <v>176</v>
      </c>
    </row>
    <row r="4" spans="1:2" x14ac:dyDescent="0.25">
      <c r="A4" s="17" t="s">
        <v>56</v>
      </c>
      <c r="B4" s="20">
        <v>232879</v>
      </c>
    </row>
    <row r="5" spans="1:2" x14ac:dyDescent="0.25">
      <c r="A5" s="17" t="s">
        <v>58</v>
      </c>
      <c r="B5" s="20">
        <v>136328</v>
      </c>
    </row>
    <row r="6" spans="1:2" x14ac:dyDescent="0.25">
      <c r="A6" s="17" t="s">
        <v>53</v>
      </c>
      <c r="B6" s="20">
        <v>289058</v>
      </c>
    </row>
    <row r="7" spans="1:2" x14ac:dyDescent="0.25">
      <c r="A7" s="17" t="s">
        <v>166</v>
      </c>
      <c r="B7" s="20">
        <v>658265</v>
      </c>
    </row>
    <row r="24" spans="1:1" x14ac:dyDescent="0.25">
      <c r="A24" t="s">
        <v>179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Operaciones</vt:lpstr>
      <vt:lpstr>2. Productos</vt:lpstr>
      <vt:lpstr>3. Mercados</vt:lpstr>
      <vt:lpstr>Valor FOB por pais </vt:lpstr>
      <vt:lpstr>Utilidad por producto</vt:lpstr>
      <vt:lpstr>Valor FOB por region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HP</cp:lastModifiedBy>
  <dcterms:created xsi:type="dcterms:W3CDTF">2026-08-30T17:25:07Z</dcterms:created>
  <dcterms:modified xsi:type="dcterms:W3CDTF">2026-09-28T05:17:31Z</dcterms:modified>
</cp:coreProperties>
</file>